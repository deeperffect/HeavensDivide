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b432bf8e3540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 Summary" sheetId="1" r:id="R3c43b8a8ece8444c"/>
    <x:sheet xmlns:r="http://schemas.openxmlformats.org/officeDocument/2006/relationships" name="Stance Mechanics" sheetId="2" r:id="R468b5bed62a346dd"/>
    <x:sheet xmlns:r="http://schemas.openxmlformats.org/officeDocument/2006/relationships" name="Upgrade Catalog" sheetId="3" r:id="Recfb30ea6c0f40db"/>
    <x:sheet xmlns:r="http://schemas.openxmlformats.org/officeDocument/2006/relationships" name="Rank Scaling" sheetId="4" r:id="Rb46eb207551f49a7"/>
    <x:sheet xmlns:r="http://schemas.openxmlformats.org/officeDocument/2006/relationships" name="Runtime Tuning" sheetId="5" r:id="Rda40a633dcbe43ab"/>
    <x:sheet xmlns:r="http://schemas.openxmlformats.org/officeDocument/2006/relationships" name="Permanent Skills" sheetId="6" r:id="R52c4440bcb1244cf"/>
    <x:sheet xmlns:r="http://schemas.openxmlformats.org/officeDocument/2006/relationships" name="Interactions" sheetId="7" r:id="R9ebf77ff46a24a1c"/>
    <x:sheet xmlns:r="http://schemas.openxmlformats.org/officeDocument/2006/relationships" name="Findings" sheetId="8" r:id="Rad4a8a39a32f45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"/>
    <x:numFmt numFmtId="201" formatCode="0.00"/>
    <x:numFmt numFmtId="202" formatCode="0.0%"/>
    <x:numFmt numFmtId="203" formatCode="0.000"/>
    <x:numFmt numFmtId="204" formatCode="0.0"/>
    <x:numFmt numFmtId="205" formatCode="0.000000"/>
    <x:numFmt numFmtId="206" formatCode="0.00000"/>
    <x:numFmt numFmtId="207" formatCode="#,##0"/>
  </x:numFmts>
  <x:fonts count="9">
    <x:font>
      <x:sz val="11"/>
      <x:name val="Carlito"/>
    </x:font>
    <x:font>
      <x:sz val="10"/>
      <x:color rgb="FF23343B"/>
      <x:name val="Arial"/>
    </x:font>
    <x:font>
      <x:b/>
      <x:sz val="16"/>
      <x:color rgb="FF23343B"/>
      <x:name val="Arial"/>
    </x:font>
    <x:font>
      <x:sz val="10"/>
      <x:color rgb="FF62747C"/>
      <x:name val="Arial"/>
    </x:font>
    <x:font>
      <x:b/>
      <x:sz val="10"/>
      <x:color rgb="FF176B78"/>
      <x:name val="Arial"/>
    </x:font>
    <x:font>
      <x:b/>
      <x:sz val="14"/>
      <x:color rgb="FF176B78"/>
      <x:name val="Arial"/>
    </x:font>
    <x:font>
      <x:sz val="10"/>
      <x:color rgb="FF23343B"/>
      <x:name val="Arial"/>
    </x:font>
    <x:font>
      <x:b/>
      <x:sz val="12"/>
      <x:color rgb="FF176B78"/>
      <x:name val="Arial"/>
    </x:font>
    <x:font>
      <x:sz val="10"/>
      <x:color rgb="FF62747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CF4F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FCED3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 wrapText="1"/>
    </x:xf>
    <x:xf numFmtId="205" fontId="1" fillId="0" borderId="0" xfId="0" applyNumberFormat="1" applyFont="1" applyFill="1" applyBorder="1" applyAlignment="1">
      <x:alignment vertical="top" wrapText="1"/>
    </x:xf>
    <x:xf numFmtId="206" fontId="1" fillId="0" borderId="0" xfId="0" applyNumberFormat="1" applyFont="1" applyFill="1" applyBorder="1" applyAlignment="1">
      <x:alignment vertical="top" wrapText="1"/>
    </x:xf>
    <x:xf numFmtId="207" fontId="1" fillId="0" borderId="0" xfId="0" applyNumberFormat="1" applyFont="1" applyFill="1" applyBorder="1" applyAlignment="1">
      <x:alignment vertical="top" wrapText="1"/>
    </x:xf>
    <x:xf numFmtId="207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8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color rgb="FF805900"/>
      </x:font>
      <x:fill>
        <x:patternFill patternType="solid">
          <x:bgColor rgb="FFFFF0CD"/>
        </x:patternFill>
      </x:fill>
    </x:dxf>
    <x:dxf>
      <x:fill>
        <x:patternFill patternType="solid">
          <x:bgColor rgb="FFFFF0CD"/>
        </x:patternFill>
      </x:fill>
    </x:dxf>
    <x:dxf>
      <x:font>
        <x:b/>
        <x:color rgb="FF805900"/>
      </x:font>
      <x:fill>
        <x:patternFill patternType="solid">
          <x:bgColor rgb="FFFFF0CD"/>
        </x:patternFill>
      </x:fill>
    </x:dxf>
    <x:dxf>
      <x:fill>
        <x:patternFill patternType="solid">
          <x:bgColor rgb="FFFFF0CD"/>
        </x:patternFill>
      </x:fill>
    </x:dxf>
    <x:dxf>
      <x:font>
        <x:b/>
        <x:color rgb="FF805900"/>
      </x:font>
      <x:fill>
        <x:patternFill patternType="solid">
          <x:bgColor rgb="FFFFF0CD"/>
        </x:patternFill>
      </x:fill>
    </x:dxf>
    <x:dxf>
      <x:font>
        <x:b/>
        <x:color rgb="FF805900"/>
      </x:font>
      <x:fill>
        <x:patternFill patternType="solid">
          <x:bgColor rgb="FFFFF0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a6ad6e91454e18" /><Relationship Type="http://schemas.openxmlformats.org/officeDocument/2006/relationships/theme" Target="/xl/theme/theme1.xml" Id="Rd26955b4193e4d59" /><Relationship Type="http://schemas.openxmlformats.org/officeDocument/2006/relationships/sharedStrings" Target="/xl/sharedStrings.xml" Id="R9f4076c7d7cc4180" /><Relationship Type="http://schemas.openxmlformats.org/officeDocument/2006/relationships/worksheet" Target="/xl/worksheets/sheet1.xml" Id="R3c43b8a8ece8444c" /><Relationship Type="http://schemas.openxmlformats.org/officeDocument/2006/relationships/worksheet" Target="/xl/worksheets/sheet2.xml" Id="R468b5bed62a346dd" /><Relationship Type="http://schemas.openxmlformats.org/officeDocument/2006/relationships/worksheet" Target="/xl/worksheets/sheet3.xml" Id="Recfb30ea6c0f40db" /><Relationship Type="http://schemas.openxmlformats.org/officeDocument/2006/relationships/worksheet" Target="/xl/worksheets/sheet4.xml" Id="Rb46eb207551f49a7" /><Relationship Type="http://schemas.openxmlformats.org/officeDocument/2006/relationships/worksheet" Target="/xl/worksheets/sheet5.xml" Id="Rda40a633dcbe43ab" /><Relationship Type="http://schemas.openxmlformats.org/officeDocument/2006/relationships/worksheet" Target="/xl/worksheets/sheet6.xml" Id="R52c4440bcb1244cf" /><Relationship Type="http://schemas.openxmlformats.org/officeDocument/2006/relationships/worksheet" Target="/xl/worksheets/sheet7.xml" Id="R9ebf77ff46a24a1c" /><Relationship Type="http://schemas.openxmlformats.org/officeDocument/2006/relationships/worksheet" Target="/xl/worksheets/sheet8.xml" Id="Rad4a8a39a32f45cd" /></Relationships>
</file>

<file path=xl/tables/table1.xml><?xml version="1.0" encoding="utf-8"?>
<x:table xmlns:x="http://schemas.openxmlformats.org/spreadsheetml/2006/main" id="8" name="StanceOverview" displayName="StanceOverview" ref="A13:H19" headerRowCount="1" totalsRowCount="0" totalsRowShown="0">
  <x:autoFilter ref="A13:H19"/>
  <x:tableColumns count="8">
    <x:tableColumn id="1" name="Stance"/>
    <x:tableColumn id="2" name="Hero"/>
    <x:tableColumn id="3" name="Unlock (Sigils)"/>
    <x:tableColumn id="4" name="Starter"/>
    <x:tableColumn id="5" name="Level-up cards"/>
    <x:tableColumn id="6" name="Shrine pacts"/>
    <x:tableColumn id="7" name="Stance meta nodes"/>
    <x:tableColumn id="8" name="Core behavior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StanceMechanics" displayName="StanceMechanics" ref="A5:F51" headerRowCount="1" totalsRowCount="0" totalsRowShown="0">
  <x:autoFilter ref="A5:F51"/>
  <x:tableColumns count="6">
    <x:tableColumn id="1" name="Stance"/>
    <x:tableColumn id="2" name="Mechanic"/>
    <x:tableColumn id="3" name="Current value"/>
    <x:tableColumn id="4" name="Unit"/>
    <x:tableColumn id="5" name="Interpretation / conditions"/>
    <x:tableColumn id="6" name="Implementation source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1" name="UpgradeCatalog" displayName="UpgradeCatalog" ref="A5:K155" headerRowCount="1" totalsRowCount="0" totalsRowShown="0">
  <x:autoFilter ref="A5:K155"/>
  <x:tableColumns count="11">
    <x:tableColumn id="1" name="Stance / scope"/>
    <x:tableColumn id="2" name="Upgrade"/>
    <x:tableColumn id="3" name="Stable ID"/>
    <x:tableColumn id="4" name="Rank cap"/>
    <x:tableColumn id="5" name="Rarity"/>
    <x:tableColumn id="6" name="Acquisition"/>
    <x:tableColumn id="7" name="Saved card effect"/>
    <x:tableColumn id="8" name="Runtime behavior and audit notes"/>
    <x:tableColumn id="9" name="Prerequisites / exclusivity"/>
    <x:tableColumn id="10" name="Availability"/>
    <x:tableColumn id="11" name="Asset and implementation source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3" name="RankScaling" displayName="RankScaling" ref="A5:K134" headerRowCount="1" totalsRowCount="0" totalsRowShown="0">
  <x:autoFilter ref="A5:K134"/>
  <x:tableColumns count="11">
    <x:tableColumn id="1" name="Stance / scope"/>
    <x:tableColumn id="2" name="Upgrade"/>
    <x:tableColumn id="3" name="Stable ID"/>
    <x:tableColumn id="4" name="Rarity"/>
    <x:tableColumn id="5" name="Scaling metric"/>
    <x:tableColumn id="6" name="Per rank"/>
    <x:tableColumn id="7" name="Unit"/>
    <x:tableColumn id="8" name="Rank cap"/>
    <x:tableColumn id="9" name="Total at cap"/>
    <x:tableColumn id="10" name="How the contribution is used"/>
    <x:tableColumn id="11" name="Availability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4" name="RuntimeTuning" displayName="RuntimeTuning" ref="A5:H334" headerRowCount="1" totalsRowCount="0" totalsRowShown="0">
  <x:autoFilter ref="A5:H334"/>
  <x:tableColumns count="8">
    <x:tableColumn id="1" name="Stance / owner"/>
    <x:tableColumn id="2" name="Stable ID / Blueprint"/>
    <x:tableColumn id="3" name="Parameter or modifier"/>
    <x:tableColumn id="4" name="Saved value"/>
    <x:tableColumn id="5" name="Unit"/>
    <x:tableColumn id="6" name="Runtime use"/>
    <x:tableColumn id="7" name="Saved asset"/>
    <x:tableColumn id="8" name="Implementation source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5" name="PermanentSkills" displayName="PermanentSkills" ref="A5:M53" headerRowCount="1" totalsRowCount="0" totalsRowShown="0">
  <x:autoFilter ref="A5:M53"/>
  <x:tableColumns count="13">
    <x:tableColumn id="1" name="Page"/>
    <x:tableColumn id="2" name="Applies to"/>
    <x:tableColumn id="3" name="Skill"/>
    <x:tableColumn id="4" name="Stable ID"/>
    <x:tableColumn id="5" name="Current description"/>
    <x:tableColumn id="6" name="Max rank"/>
    <x:tableColumn id="7" name="Per rank"/>
    <x:tableColumn id="8" name="Base cost"/>
    <x:tableColumn id="9" name="Contribution at cap"/>
    <x:tableColumn id="10" name="Total cost at cap"/>
    <x:tableColumn id="11" name="Prerequisites"/>
    <x:tableColumn id="12" name="Effect ID"/>
    <x:tableColumn id="13" name="Runtime note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6" name="Interactions" displayName="Interactions" ref="A5:E30" headerRowCount="1" totalsRowCount="0" totalsRowShown="0">
  <x:autoFilter ref="A5:E30"/>
  <x:tableColumns count="5">
    <x:tableColumn id="1" name="Scope"/>
    <x:tableColumn id="2" name="Interaction"/>
    <x:tableColumn id="3" name="Current rule"/>
    <x:tableColumn id="4" name="Practical consequence"/>
    <x:tableColumn id="5" name="Implementation source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7" name="AuditFindings" displayName="AuditFindings" ref="A5:G14" headerRowCount="1" totalsRowCount="0" totalsRowShown="0">
  <x:autoFilter ref="A5:G14"/>
  <x:tableColumns count="7">
    <x:tableColumn id="1" name="ID"/>
    <x:tableColumn id="2" name="Priority"/>
    <x:tableColumn id="3" name="Finding type"/>
    <x:tableColumn id="4" name="Finding"/>
    <x:tableColumn id="5" name="Evidence / current behavior"/>
    <x:tableColumn id="6" name="Suggested follow-up"/>
    <x:tableColumn id="7" name="Sourc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99e31e017748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bf7555681b47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9b2109c23a349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d98d1c833ba43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1d06cbe0e2043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73e808b16fc47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36f15aa5abe49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fb65227027b4967" /></Relationships>
</file>

<file path=xl/worksheets/sheet1.xml><?xml version="1.0" encoding="utf-8"?>
<x:worksheet xmlns:x="http://schemas.openxmlformats.org/spreadsheetml/2006/main">
  <x:sheetPr>
    <x:tabColor rgb="FF176B78"/>
  </x:sheetPr>
  <x:sheetViews>
    <x:sheetView showGridLines="0" workbookViewId="0"/>
  </x:sheetViews>
  <x:sheetFormatPr defaultRowHeight="15"/>
  <x:cols>
    <x:col min="1" max="1" width="21.25" hidden="0" customWidth="1"/>
    <x:col min="2" max="2" width="16.8799991607666" hidden="0" customWidth="1"/>
    <x:col min="3" max="3" width="18.75" hidden="0" customWidth="1"/>
    <x:col min="4" max="4" width="19.3799991607666" hidden="0" customWidth="1"/>
    <x:col min="5" max="5" width="18.1299991607666" hidden="0" customWidth="1"/>
    <x:col min="6" max="6" width="18.1299991607666" hidden="0" customWidth="1"/>
    <x:col min="7" max="7" width="18.75" hidden="0" customWidth="1"/>
    <x:col min="8" max="8" width="26.25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</x:row>
    <x:row r="2" ht="29" customHeight="1">
      <x:c r="A2" s="3" t="str">
        <x:v>Heavens Divide — stance and upgrade audit</x:v>
      </x:c>
      <x:c r="B2" s="2"/>
      <x:c r="C2" s="2"/>
      <x:c r="D2" s="2"/>
      <x:c r="E2" s="2"/>
      <x:c r="F2" s="2"/>
      <x:c r="G2" s="2"/>
      <x:c r="H2" s="2"/>
    </x:row>
    <x:row r="3" ht="32" customHeight="1">
      <x:c r="A3" s="5" t="str">
        <x:v>Snapshot: 16 October 2026. Saved Unreal assets checked against current C++ rules, with ten existing automation suites run in NullRHI mode.</x:v>
      </x:c>
      <x:c r="B3" s="6"/>
      <x:c r="C3" s="6"/>
      <x:c r="D3" s="6"/>
      <x:c r="E3" s="6"/>
      <x:c r="F3" s="6"/>
      <x:c r="G3" s="6"/>
      <x:c r="H3" s="2"/>
    </x:row>
    <x:row r="4" ht="25" customHeight="1">
      <x:c r="A4" s="26" t="str">
        <x:v>Catalog coverage</x:v>
      </x:c>
      <x:c r="B4" s="26" t="str">
        <x:v>Count</x:v>
      </x:c>
      <x:c r="C4" s="7"/>
      <x:c r="D4" s="30" t="str">
        <x:v>What deserves attention</x:v>
      </x:c>
      <x:c r="E4" s="30"/>
      <x:c r="F4" s="30"/>
      <x:c r="G4" s="30"/>
      <x:c r="H4" s="30"/>
    </x:row>
    <x:row r="5" ht="34" customHeight="1">
      <x:c r="A5" s="2" t="str">
        <x:v>Saved upgrade definitions</x:v>
      </x:c>
      <x:c r="B5" s="27" t="n">
        <x:f>COUNTA('Upgrade Catalog'!C6:C155)</x:f>
        <x:v>150</x:v>
      </x:c>
      <x:c r="C5" s="2"/>
      <x:c r="D5" s="31" t="str">
        <x:v>Bloodletting’s final rank needs more bleed capacity to add a stack. Sweeping Steel’s text still promises burst radius that the code no longer grants.</x:v>
      </x:c>
      <x:c r="E5" s="31"/>
      <x:c r="F5" s="31"/>
      <x:c r="G5" s="31"/>
      <x:c r="H5" s="31"/>
    </x:row>
    <x:row r="6" ht="31" customHeight="1">
      <x:c r="A6" s="2" t="str">
        <x:v>Active definitions</x:v>
      </x:c>
      <x:c r="B6" s="27" t="n">
        <x:f>COUNTIFS('Upgrade Catalog'!J6:J155,"Active")</x:f>
        <x:v>139</x:v>
      </x:c>
      <x:c r="C6" s="2"/>
      <x:c r="D6" s="31"/>
      <x:c r="E6" s="31"/>
      <x:c r="F6" s="31"/>
      <x:c r="G6" s="31"/>
      <x:c r="H6" s="31"/>
    </x:row>
    <x:row r="7" ht="34" customHeight="1">
      <x:c r="A7" s="2" t="str">
        <x:v>Legacy / unavailable</x:v>
      </x:c>
      <x:c r="B7" s="27" t="n">
        <x:f>COUNTIFS('Upgrade Catalog'!J6:J155,"Unavailable in normal runs")</x:f>
        <x:v>11</x:v>
      </x:c>
      <x:c r="C7" s="2"/>
      <x:c r="D7" s="31" t="str">
        <x:v>Two automation failures: one Barrage Niagara activity check under NullRHI, and one outdated save-version assertion. Eight suites passed.</x:v>
      </x:c>
      <x:c r="E7" s="31"/>
      <x:c r="F7" s="31"/>
      <x:c r="G7" s="31"/>
      <x:c r="H7" s="31"/>
    </x:row>
    <x:row r="8" ht="31" customHeight="1">
      <x:c r="A8" s="2" t="str">
        <x:v>Permanent skill nodes</x:v>
      </x:c>
      <x:c r="B8" s="27" t="n">
        <x:f>COUNTA('Permanent Skills'!D6:D53)</x:f>
        <x:v>48</x:v>
      </x:c>
      <x:c r="C8" s="2"/>
      <x:c r="D8" s="31"/>
      <x:c r="E8" s="31"/>
      <x:c r="F8" s="31"/>
      <x:c r="G8" s="31"/>
      <x:c r="H8" s="31"/>
    </x:row>
    <x:row r="9" ht="34" customHeight="1">
      <x:c r="A9" s="2" t="str">
        <x:v>Automation passes</x:v>
      </x:c>
      <x:c r="B9" s="27" t="n">
        <x:f>COUNTIFS(F31:F40,"Success")</x:f>
        <x:v>8</x:v>
      </x:c>
      <x:c r="C9" s="2"/>
      <x:c r="D9" s="31" t="str">
        <x:v>Three saved tuning fields are unused. Eleven retained Ninja cards cannot appear in ordinary selected-stance runs. See Findings for exact evidence and follow-up.</x:v>
      </x:c>
      <x:c r="E9" s="31"/>
      <x:c r="F9" s="31"/>
      <x:c r="G9" s="31"/>
      <x:c r="H9" s="31"/>
    </x:row>
    <x:row r="10" ht="31" customHeight="1">
      <x:c r="A10" s="2" t="str">
        <x:v>Automation failures</x:v>
      </x:c>
      <x:c r="B10" s="27" t="n">
        <x:f>COUNTIFS(F31:F40,"Fail")</x:f>
        <x:v>2</x:v>
      </x:c>
      <x:c r="C10" s="2"/>
      <x:c r="D10" s="31"/>
      <x:c r="E10" s="31"/>
      <x:c r="F10" s="31"/>
      <x:c r="G10" s="31"/>
      <x:c r="H10" s="31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</x:row>
    <x:row r="12" ht="28" customHeight="1">
      <x:c r="A12" s="32" t="str">
        <x:v>The six playable stances</x:v>
      </x:c>
      <x:c r="B12" s="32"/>
      <x:c r="C12" s="32"/>
      <x:c r="D12" s="32"/>
      <x:c r="E12" s="32"/>
      <x:c r="F12" s="32"/>
      <x:c r="G12" s="32"/>
      <x:c r="H12" s="32"/>
    </x:row>
    <x:row r="13" ht="43" customHeight="1">
      <x:c r="A13" s="10" t="str">
        <x:v>Stance</x:v>
      </x:c>
      <x:c r="B13" s="10" t="str">
        <x:v>Hero</x:v>
      </x:c>
      <x:c r="C13" s="10" t="str">
        <x:v>Unlock (Sigils)</x:v>
      </x:c>
      <x:c r="D13" s="10" t="str">
        <x:v>Starter</x:v>
      </x:c>
      <x:c r="E13" s="10" t="str">
        <x:v>Level-up cards</x:v>
      </x:c>
      <x:c r="F13" s="10" t="str">
        <x:v>Shrine pacts</x:v>
      </x:c>
      <x:c r="G13" s="10" t="str">
        <x:v>Stance meta nodes</x:v>
      </x:c>
      <x:c r="H13" s="10" t="str">
        <x:v>Core behavior</x:v>
      </x:c>
    </x:row>
    <x:row r="14" ht="43" customHeight="1">
      <x:c r="A14" s="6" t="str">
        <x:v>Blood</x:v>
      </x:c>
      <x:c r="B14" s="6" t="str">
        <x:v>Samurai</x:v>
      </x:c>
      <x:c r="C14" s="34" t="n">
        <x:v>0</x:v>
      </x:c>
      <x:c r="D14" s="6" t="str">
        <x:v>BattleStance</x:v>
      </x:c>
      <x:c r="E14" s="34" t="n">
        <x:f>COUNTIFS('Upgrade Catalog'!A6:A155,A14,'Upgrade Catalog'!F6:F155,"Level-up",'Upgrade Catalog'!J6:J155,"Active")</x:f>
        <x:v>17</x:v>
      </x:c>
      <x:c r="F14" s="34" t="n">
        <x:f>COUNTIFS('Upgrade Catalog'!A6:A155,A14,'Upgrade Catalog'!F6:F155,"Blood Shrine")</x:f>
        <x:v>3</x:v>
      </x:c>
      <x:c r="G14" s="34" t="n">
        <x:f>COUNTIFS('Permanent Skills'!B6:B53,A14)</x:f>
        <x:v>3</x:v>
      </x:c>
      <x:c r="H14" s="6" t="str">
        <x:v>Melee and hit-scaled Bleed</x:v>
      </x:c>
    </x:row>
    <x:row r="15" ht="43" customHeight="1">
      <x:c r="A15" s="6" t="str">
        <x:v>Iaijutsu</x:v>
      </x:c>
      <x:c r="B15" s="6" t="str">
        <x:v>Samurai</x:v>
      </x:c>
      <x:c r="C15" s="34" t="n">
        <x:v>18</x:v>
      </x:c>
      <x:c r="D15" s="6" t="str">
        <x:v>Iaijutsu</x:v>
      </x:c>
      <x:c r="E15" s="34" t="n">
        <x:f>COUNTIFS('Upgrade Catalog'!A6:A155,A15,'Upgrade Catalog'!F6:F155,"Level-up",'Upgrade Catalog'!J6:J155,"Active")</x:f>
        <x:v>17</x:v>
      </x:c>
      <x:c r="F15" s="34" t="n">
        <x:f>COUNTIFS('Upgrade Catalog'!A6:A155,A15,'Upgrade Catalog'!F6:F155,"Blood Shrine")</x:f>
        <x:v>3</x:v>
      </x:c>
      <x:c r="G15" s="34" t="n">
        <x:f>COUNTIFS('Permanent Skills'!B6:B53,A15)</x:f>
        <x:v>3</x:v>
      </x:c>
      <x:c r="H15" s="6" t="str">
        <x:v>Charged lanes and vulnerability</x:v>
      </x:c>
    </x:row>
    <x:row r="16" ht="43" customHeight="1">
      <x:c r="A16" s="6" t="str">
        <x:v>Crescent</x:v>
      </x:c>
      <x:c r="B16" s="6" t="str">
        <x:v>Samurai</x:v>
      </x:c>
      <x:c r="C16" s="34" t="n">
        <x:v>18</x:v>
      </x:c>
      <x:c r="D16" s="6" t="str">
        <x:v>BladeWave</x:v>
      </x:c>
      <x:c r="E16" s="34" t="n">
        <x:f>COUNTIFS('Upgrade Catalog'!A6:A155,A16,'Upgrade Catalog'!F6:F155,"Level-up",'Upgrade Catalog'!J6:J155,"Active")</x:f>
        <x:v>17</x:v>
      </x:c>
      <x:c r="F16" s="34" t="n">
        <x:f>COUNTIFS('Upgrade Catalog'!A6:A155,A16,'Upgrade Catalog'!F6:F155,"Blood Shrine")</x:f>
        <x:v>3</x:v>
      </x:c>
      <x:c r="G16" s="34" t="n">
        <x:f>COUNTIFS('Permanent Skills'!B6:B53,A16)</x:f>
        <x:v>3</x:v>
      </x:c>
      <x:c r="H16" s="6" t="str">
        <x:v>Piercing waves and path damage</x:v>
      </x:c>
    </x:row>
    <x:row r="17" ht="43" customHeight="1">
      <x:c r="A17" s="6" t="str">
        <x:v>Returning Fang</x:v>
      </x:c>
      <x:c r="B17" s="6" t="str">
        <x:v>Ninja</x:v>
      </x:c>
      <x:c r="C17" s="34" t="n">
        <x:v>18</x:v>
      </x:c>
      <x:c r="D17" s="6" t="str">
        <x:v>ReturningFang</x:v>
      </x:c>
      <x:c r="E17" s="34" t="n">
        <x:f>COUNTIFS('Upgrade Catalog'!A6:A155,A17,'Upgrade Catalog'!F6:F155,"Level-up",'Upgrade Catalog'!J6:J155,"Active")</x:f>
        <x:v>19</x:v>
      </x:c>
      <x:c r="F17" s="34" t="n">
        <x:f>COUNTIFS('Upgrade Catalog'!A6:A155,A17,'Upgrade Catalog'!F6:F155,"Blood Shrine")</x:f>
        <x:v>3</x:v>
      </x:c>
      <x:c r="G17" s="34" t="n">
        <x:f>COUNTIFS('Permanent Skills'!B6:B53,A17)</x:f>
        <x:v>3</x:v>
      </x:c>
      <x:c r="H17" s="6" t="str">
        <x:v>Homing round trips and returns</x:v>
      </x:c>
    </x:row>
    <x:row r="18" ht="43" customHeight="1">
      <x:c r="A18" s="6" t="str">
        <x:v>Barrage</x:v>
      </x:c>
      <x:c r="B18" s="6" t="str">
        <x:v>Ninja</x:v>
      </x:c>
      <x:c r="C18" s="34" t="n">
        <x:v>0</x:v>
      </x:c>
      <x:c r="D18" s="6" t="str">
        <x:v>BarrageStance</x:v>
      </x:c>
      <x:c r="E18" s="34" t="n">
        <x:f>COUNTIFS('Upgrade Catalog'!A6:A155,A18,'Upgrade Catalog'!F6:F155,"Level-up",'Upgrade Catalog'!J6:J155,"Active")</x:f>
        <x:v>17</x:v>
      </x:c>
      <x:c r="F18" s="34" t="n">
        <x:f>COUNTIFS('Upgrade Catalog'!A6:A155,A18,'Upgrade Catalog'!F6:F155,"Blood Shrine")</x:f>
        <x:v>3</x:v>
      </x:c>
      <x:c r="G18" s="34" t="n">
        <x:f>COUNTIFS('Permanent Skills'!B6:B53,A18)</x:f>
        <x:v>3</x:v>
      </x:c>
      <x:c r="H18" s="6" t="str">
        <x:v>Kunai volleys and stacking poison</x:v>
      </x:c>
    </x:row>
    <x:row r="19" ht="43" customHeight="1">
      <x:c r="A19" s="6" t="str">
        <x:v>Giant Shuriken</x:v>
      </x:c>
      <x:c r="B19" s="6" t="str">
        <x:v>Ninja</x:v>
      </x:c>
      <x:c r="C19" s="34" t="n">
        <x:v>18</x:v>
      </x:c>
      <x:c r="D19" s="6" t="str">
        <x:v>GreatShuriken</x:v>
      </x:c>
      <x:c r="E19" s="34" t="n">
        <x:f>COUNTIFS('Upgrade Catalog'!A6:A155,A19,'Upgrade Catalog'!F6:F155,"Level-up",'Upgrade Catalog'!J6:J155,"Active")</x:f>
        <x:v>17</x:v>
      </x:c>
      <x:c r="F19" s="34" t="n">
        <x:f>COUNTIFS('Upgrade Catalog'!A6:A155,A19,'Upgrade Catalog'!F6:F155,"Blood Shrine")</x:f>
        <x:v>3</x:v>
      </x:c>
      <x:c r="G19" s="34" t="n">
        <x:f>COUNTIFS('Permanent Skills'!B6:B53,A19)</x:f>
        <x:v>3</x:v>
      </x:c>
      <x:c r="H19" s="6" t="str">
        <x:v>Repeated-contact piercing blades</x:v>
      </x:c>
    </x:row>
    <x:row r="20" ht="24" customHeight="1">
      <x:c r="A20" s="2"/>
      <x:c r="B20" s="2"/>
      <x:c r="C20" s="2"/>
      <x:c r="D20" s="2"/>
      <x:c r="E20" s="2"/>
      <x:c r="F20" s="2"/>
      <x:c r="G20" s="2"/>
      <x:c r="H20" s="2"/>
    </x:row>
    <x:row r="21" ht="26" customHeight="1">
      <x:c r="A21" s="32" t="str">
        <x:v>How to use the workbook</x:v>
      </x:c>
      <x:c r="B21" s="32"/>
      <x:c r="C21" s="32"/>
      <x:c r="D21" s="32"/>
      <x:c r="E21" s="32"/>
      <x:c r="F21" s="32"/>
      <x:c r="G21" s="32"/>
      <x:c r="H21" s="32"/>
    </x:row>
    <x:row r="22" ht="30" customHeight="1">
      <x:c r="A22" s="31" t="str">
        <x:v>Upgrade Catalog: filter by stance, acquisition route or availability. Each definition appears once, including the six stance starters and eleven legacy Ninja entries.</x:v>
      </x:c>
      <x:c r="B22" s="31"/>
      <x:c r="C22" s="31"/>
      <x:c r="D22" s="31"/>
      <x:c r="E22" s="31"/>
      <x:c r="F22" s="31"/>
      <x:c r="G22" s="31"/>
      <x:c r="H22" s="31"/>
    </x:row>
    <x:row r="23" ht="30" customHeight="1">
      <x:c r="A23" s="31" t="str">
        <x:v>Rank Scaling: compare Common/Rare/Epic contributions and max-rank totals. Runtime Tuning: inspect every saved numeric balance parameter and character combat default.</x:v>
      </x:c>
      <x:c r="B23" s="31"/>
      <x:c r="C23" s="31"/>
      <x:c r="D23" s="31"/>
      <x:c r="E23" s="31"/>
      <x:c r="F23" s="31"/>
      <x:c r="G23" s="31"/>
      <x:c r="H23" s="31"/>
    </x:row>
    <x:row r="24" ht="30" customHeight="1">
      <x:c r="A24" s="31" t="str">
        <x:v>Stance Mechanics and Interactions: actual formulas, caps, radius rules and shrine conversions. Permanent Skills: all 48 nodes, prerequisites, values and full purchase costs.</x:v>
      </x:c>
      <x:c r="B24" s="31"/>
      <x:c r="C24" s="31"/>
      <x:c r="D24" s="31"/>
      <x:c r="E24" s="31"/>
      <x:c r="F24" s="31"/>
      <x:c r="G24" s="31"/>
      <x:c r="H24" s="31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</x:row>
    <x:row r="26" ht="26" customHeight="1">
      <x:c r="A26" s="32" t="str">
        <x:v>Validation scope</x:v>
      </x:c>
      <x:c r="B26" s="32"/>
      <x:c r="C26" s="32"/>
      <x:c r="D26" s="32"/>
      <x:c r="E26" s="32"/>
      <x:c r="F26" s="32"/>
      <x:c r="G26" s="32"/>
      <x:c r="H26" s="32"/>
    </x:row>
    <x:row r="27" ht="32" customHeight="1">
      <x:c r="A27" s="31" t="str">
        <x:v>150 unique definitions match 150 unique pool entries. All card and skill prerequisites resolve; rank prerequisites do not exceed target caps.</x:v>
      </x:c>
      <x:c r="B27" s="31"/>
      <x:c r="C27" s="31"/>
      <x:c r="D27" s="31"/>
      <x:c r="E27" s="31"/>
      <x:c r="F27" s="31"/>
      <x:c r="G27" s="31"/>
      <x:c r="H27" s="31"/>
    </x:row>
    <x:row r="28" ht="32" customHeight="1">
      <x:c r="A28" s="31" t="str">
        <x:v>Tests use the current editor binary and saved assets. NullRHI does not verify rendered VFX appearance or performance. Derived damage examples exclude full-run enemy density, hit uptime and player movement.</x:v>
      </x:c>
      <x:c r="B28" s="31"/>
      <x:c r="C28" s="31"/>
      <x:c r="D28" s="31"/>
      <x:c r="E28" s="31"/>
      <x:c r="F28" s="31"/>
      <x:c r="G28" s="31"/>
      <x:c r="H28" s="31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</x:row>
    <x:row r="30" ht="28" customHeight="1">
      <x:c r="A30" s="10" t="str">
        <x:v>Automation suite</x:v>
      </x:c>
      <x:c r="B30" s="10"/>
      <x:c r="C30" s="10"/>
      <x:c r="D30" s="10"/>
      <x:c r="E30" s="10"/>
      <x:c r="F30" s="9" t="str">
        <x:v>Result</x:v>
      </x:c>
      <x:c r="G30" s="9" t="str">
        <x:v>Errors</x:v>
      </x:c>
      <x:c r="H30" s="9" t="str">
        <x:v>Interpretation</x:v>
      </x:c>
    </x:row>
    <x:row r="31" ht="34" customHeight="1">
      <x:c r="A31" s="31" t="str">
        <x:v>HeavensDivide.Combat.BarrageBuilds</x:v>
      </x:c>
      <x:c r="B31" s="31"/>
      <x:c r="C31" s="31"/>
      <x:c r="D31" s="31"/>
      <x:c r="E31" s="31"/>
      <x:c r="F31" s="6" t="str">
        <x:v>Fail</x:v>
      </x:c>
      <x:c r="G31" s="6" t="n">
        <x:v>1</x:v>
      </x:c>
      <x:c r="H31" s="6" t="str">
        <x:v>Needs rendered check (F05)</x:v>
      </x:c>
    </x:row>
    <x:row r="32" ht="34" customHeight="1">
      <x:c r="A32" s="31" t="str">
        <x:v>HeavensDivide.Combat.CrescentBuilds</x:v>
      </x:c>
      <x:c r="B32" s="31"/>
      <x:c r="C32" s="31"/>
      <x:c r="D32" s="31"/>
      <x:c r="E32" s="31"/>
      <x:c r="F32" s="6" t="str">
        <x:v>Success</x:v>
      </x:c>
      <x:c r="G32" s="6" t="n">
        <x:v>0</x:v>
      </x:c>
      <x:c r="H32" s="6" t="str">
        <x:v>Assertions passed</x:v>
      </x:c>
    </x:row>
    <x:row r="33" ht="34" customHeight="1">
      <x:c r="A33" s="31" t="str">
        <x:v>HeavensDivide.Combat.FangBuilds</x:v>
      </x:c>
      <x:c r="B33" s="31"/>
      <x:c r="C33" s="31"/>
      <x:c r="D33" s="31"/>
      <x:c r="E33" s="31"/>
      <x:c r="F33" s="6" t="str">
        <x:v>Success</x:v>
      </x:c>
      <x:c r="G33" s="6" t="n">
        <x:v>0</x:v>
      </x:c>
      <x:c r="H33" s="6" t="str">
        <x:v>Assertions passed</x:v>
      </x:c>
    </x:row>
    <x:row r="34" ht="34" customHeight="1">
      <x:c r="A34" s="31" t="str">
        <x:v>HeavensDivide.Combat.SamuraiBuilds</x:v>
      </x:c>
      <x:c r="B34" s="31"/>
      <x:c r="C34" s="31"/>
      <x:c r="D34" s="31"/>
      <x:c r="E34" s="31"/>
      <x:c r="F34" s="6" t="str">
        <x:v>Success</x:v>
      </x:c>
      <x:c r="G34" s="6" t="n">
        <x:v>0</x:v>
      </x:c>
      <x:c r="H34" s="6" t="str">
        <x:v>Assertions passed</x:v>
      </x:c>
    </x:row>
    <x:row r="35" ht="34" customHeight="1">
      <x:c r="A35" s="31" t="str">
        <x:v>HeavensDivide.Combat.SamuraiStanceBalance</x:v>
      </x:c>
      <x:c r="B35" s="31"/>
      <x:c r="C35" s="31"/>
      <x:c r="D35" s="31"/>
      <x:c r="E35" s="31"/>
      <x:c r="F35" s="6" t="str">
        <x:v>Success</x:v>
      </x:c>
      <x:c r="G35" s="6" t="n">
        <x:v>0</x:v>
      </x:c>
      <x:c r="H35" s="6" t="str">
        <x:v>Assertions passed</x:v>
      </x:c>
    </x:row>
    <x:row r="36" ht="34" customHeight="1">
      <x:c r="A36" s="31" t="str">
        <x:v>HeavensDivide.Combat.ShurikenBuilds</x:v>
      </x:c>
      <x:c r="B36" s="31"/>
      <x:c r="C36" s="31"/>
      <x:c r="D36" s="31"/>
      <x:c r="E36" s="31"/>
      <x:c r="F36" s="6" t="str">
        <x:v>Success</x:v>
      </x:c>
      <x:c r="G36" s="6" t="n">
        <x:v>0</x:v>
      </x:c>
      <x:c r="H36" s="6" t="str">
        <x:v>Assertions passed</x:v>
      </x:c>
    </x:row>
    <x:row r="37" ht="34" customHeight="1">
      <x:c r="A37" s="31" t="str">
        <x:v>HeavensDivide.Combat.StanceDependencies</x:v>
      </x:c>
      <x:c r="B37" s="31"/>
      <x:c r="C37" s="31"/>
      <x:c r="D37" s="31"/>
      <x:c r="E37" s="31"/>
      <x:c r="F37" s="6" t="str">
        <x:v>Success</x:v>
      </x:c>
      <x:c r="G37" s="6" t="n">
        <x:v>0</x:v>
      </x:c>
      <x:c r="H37" s="6" t="str">
        <x:v>Assertions passed</x:v>
      </x:c>
    </x:row>
    <x:row r="38" ht="34" customHeight="1">
      <x:c r="A38" s="31" t="str">
        <x:v>HeavensDivide.Meta.StanceBonuses</x:v>
      </x:c>
      <x:c r="B38" s="31"/>
      <x:c r="C38" s="31"/>
      <x:c r="D38" s="31"/>
      <x:c r="E38" s="31"/>
      <x:c r="F38" s="6" t="str">
        <x:v>Success</x:v>
      </x:c>
      <x:c r="G38" s="6" t="n">
        <x:v>0</x:v>
      </x:c>
      <x:c r="H38" s="6" t="str">
        <x:v>Assertions passed</x:v>
      </x:c>
    </x:row>
    <x:row r="39" ht="34" customHeight="1">
      <x:c r="A39" s="31" t="str">
        <x:v>HeavensDivide.Progression.UnlockShop</x:v>
      </x:c>
      <x:c r="B39" s="31"/>
      <x:c r="C39" s="31"/>
      <x:c r="D39" s="31"/>
      <x:c r="E39" s="31"/>
      <x:c r="F39" s="6" t="str">
        <x:v>Fail</x:v>
      </x:c>
      <x:c r="G39" s="6" t="n">
        <x:v>1</x:v>
      </x:c>
      <x:c r="H39" s="6" t="str">
        <x:v>Stale version check (F06)</x:v>
      </x:c>
    </x:row>
    <x:row r="40" ht="34" customHeight="1">
      <x:c r="A40" s="31" t="str">
        <x:v>HeavensDivide.Upgrades.RetiredRunState</x:v>
      </x:c>
      <x:c r="B40" s="31"/>
      <x:c r="C40" s="31"/>
      <x:c r="D40" s="31"/>
      <x:c r="E40" s="31"/>
      <x:c r="F40" s="6" t="str">
        <x:v>Success</x:v>
      </x:c>
      <x:c r="G40" s="6" t="n">
        <x:v>0</x:v>
      </x:c>
      <x:c r="H40" s="6" t="str">
        <x:v>Assertions passed</x:v>
      </x:c>
    </x:row>
    <x:row r="41" ht="24" customHeight="1">
      <x:c r="A41" s="2"/>
      <x:c r="B41" s="2"/>
      <x:c r="C41" s="2"/>
      <x:c r="D41" s="2"/>
      <x:c r="E41" s="2"/>
      <x:c r="F41" s="2"/>
      <x:c r="G41" s="2"/>
      <x:c r="H41" s="2"/>
    </x:row>
    <x:row r="42" ht="26" customHeight="1">
      <x:c r="A42" s="32" t="str">
        <x:v>Source precedence</x:v>
      </x:c>
      <x:c r="B42" s="32"/>
      <x:c r="C42" s="32"/>
      <x:c r="D42" s="32"/>
      <x:c r="E42" s="32"/>
      <x:c r="F42" s="32"/>
      <x:c r="G42" s="32"/>
      <x:c r="H42" s="32"/>
    </x:row>
    <x:row r="43" ht="32" customHeight="1">
      <x:c r="A43" s="31" t="str">
        <x:v>Saved upgrade values and Blueprint defaults override code fallback numbers. Current runtime code determines acquisition and scaling. Older design docs are treated as intent, not as the current numeric truth.</x:v>
      </x:c>
      <x:c r="B43" s="31"/>
      <x:c r="C43" s="31"/>
      <x:c r="D43" s="31"/>
      <x:c r="E43" s="31"/>
      <x:c r="F43" s="31"/>
      <x:c r="G43" s="31"/>
      <x:c r="H43" s="31"/>
    </x:row>
    <x:row r="44" ht="32" customHeight="1">
      <x:c r="A44" s="35" t="str">
        <x:v>Core references: RunStanceCatalog.h, PlayerUpgradeComponent.cpp, PlayerUpgradeSelection.cpp, PlayerUpgradeStats.cpp, MetaSkillTree.cpp, plus the stance implementations cited in each table.</x:v>
      </x:c>
      <x:c r="B44" s="35"/>
      <x:c r="C44" s="35"/>
      <x:c r="D44" s="35"/>
      <x:c r="E44" s="35"/>
      <x:c r="F44" s="35"/>
      <x:c r="G44" s="35"/>
      <x:c r="H44" s="35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</x:row>
  </x:sheetData>
  <x:mergeCells>
    <x:mergeCell ref="A2:G2"/>
    <x:mergeCell ref="A3:G3"/>
    <x:mergeCell ref="D4:H4"/>
    <x:mergeCell ref="D5:H6"/>
    <x:mergeCell ref="D7:H8"/>
    <x:mergeCell ref="D9:H10"/>
    <x:mergeCell ref="A12:H12"/>
    <x:mergeCell ref="A21:H21"/>
    <x:mergeCell ref="A22:H22"/>
    <x:mergeCell ref="A23:H23"/>
    <x:mergeCell ref="A24:H24"/>
    <x:mergeCell ref="A26:H26"/>
    <x:mergeCell ref="A27:H27"/>
    <x:mergeCell ref="A28:H28"/>
    <x:mergeCell ref="A30:E30"/>
    <x:mergeCell ref="A31:E31"/>
    <x:mergeCell ref="A32:E32"/>
    <x:mergeCell ref="A33:E33"/>
    <x:mergeCell ref="A34:E34"/>
    <x:mergeCell ref="A35:E35"/>
    <x:mergeCell ref="A36:E36"/>
    <x:mergeCell ref="A37:E37"/>
    <x:mergeCell ref="A38:E38"/>
    <x:mergeCell ref="A39:E39"/>
    <x:mergeCell ref="A40:E40"/>
    <x:mergeCell ref="A42:H42"/>
    <x:mergeCell ref="A43:H43"/>
    <x:mergeCell ref="A44:H44"/>
  </x:mergeCells>
  <x:conditionalFormatting sqref="F31:F40">
    <x:cfRule type="containsText" dxfId="5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f699e31e017748a3"/>
  </x:tableParts>
</x:worksheet>
</file>

<file path=xl/worksheets/sheet2.xml><?xml version="1.0" encoding="utf-8"?>
<x:worksheet xmlns:x="http://schemas.openxmlformats.org/spreadsheetml/2006/main">
  <x:sheetPr>
    <x:tabColor rgb="FF176B7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.5" hidden="0" customWidth="1"/>
    <x:col min="2" max="2" width="31.8799991607666" hidden="0" customWidth="1"/>
    <x:col min="3" max="3" width="22.5" hidden="0" customWidth="1"/>
    <x:col min="4" max="4" width="22.5" hidden="0" customWidth="1"/>
    <x:col min="5" max="5" width="70" hidden="0" customWidth="1"/>
    <x:col min="6" max="6" width="55" hidden="0" customWidth="1"/>
  </x:cols>
  <x:sheetData>
    <x:row r="1" ht="8" customHeight="1">
      <x:c r="A1" s="2"/>
      <x:c r="B1" s="2"/>
      <x:c r="C1" s="2"/>
      <x:c r="D1" s="2"/>
      <x:c r="E1" s="2"/>
      <x:c r="F1" s="2"/>
    </x:row>
    <x:row r="2" ht="29" customHeight="1">
      <x:c r="A2" s="3" t="str">
        <x:v>Stance mechanics and scaling</x:v>
      </x:c>
      <x:c r="B2" s="2"/>
      <x:c r="C2" s="2"/>
      <x:c r="D2" s="2"/>
      <x:c r="E2" s="2"/>
      <x:c r="F2" s="2"/>
    </x:row>
    <x:row r="3" ht="34" customHeight="1">
      <x:c r="A3" s="5" t="str">
        <x:v>Baselines use saved character/stance data with no meta, global, or shrine bonuses unless stated. Nominal rates and examples are calculations, not measured full-run DPS.</x:v>
      </x:c>
      <x:c r="B3" s="6"/>
      <x:c r="C3" s="6"/>
      <x:c r="D3" s="6"/>
      <x:c r="E3" s="2"/>
      <x:c r="F3" s="2"/>
    </x:row>
    <x:row r="4" ht="8" customHeight="1">
      <x:c r="A4" s="7"/>
      <x:c r="B4" s="7"/>
      <x:c r="C4" s="7"/>
      <x:c r="D4" s="7"/>
      <x:c r="E4" s="7"/>
      <x:c r="F4" s="7"/>
    </x:row>
    <x:row r="5" ht="34" customHeight="1">
      <x:c r="A5" s="12" t="str">
        <x:v>Stance</x:v>
      </x:c>
      <x:c r="B5" s="12" t="str">
        <x:v>Mechanic</x:v>
      </x:c>
      <x:c r="C5" s="12" t="str">
        <x:v>Current value</x:v>
      </x:c>
      <x:c r="D5" s="12" t="str">
        <x:v>Unit</x:v>
      </x:c>
      <x:c r="E5" s="12" t="str">
        <x:v>Interpretation / conditions</x:v>
      </x:c>
      <x:c r="F5" s="12" t="str">
        <x:v>Implementation source</x:v>
      </x:c>
    </x:row>
    <x:row r="6" ht="51" customHeight="1">
      <x:c r="A6" s="6" t="str">
        <x:v>All</x:v>
      </x:c>
      <x:c r="B6" s="6" t="str">
        <x:v>Base damage stacking</x:v>
      </x:c>
      <x:c r="C6" s="14" t="str">
        <x:v>Base x character multiplier x shared multiplier x stance-specific scaling</x:v>
      </x:c>
      <x:c r="D6" s="6" t="str">
        <x:v>formula</x:v>
      </x:c>
      <x:c r="E6" s="6" t="str">
        <x:v>Additive ranks within each multiplier; separate sources/pacts multiply. Mastery itself grants no damage.</x:v>
      </x:c>
      <x:c r="F6" s="6" t="str">
        <x:v>Source/HeavensDivide/AutoAttackComponent.cpp:224</x:v>
      </x:c>
    </x:row>
    <x:row r="7" ht="30" customHeight="1">
      <x:c r="A7" s="6" t="str">
        <x:v>Blood</x:v>
      </x:c>
      <x:c r="B7" s="6" t="str">
        <x:v>Unupgraded direct damage</x:v>
      </x:c>
      <x:c r="C7" s="13" t="n">
        <x:v>8</x:v>
      </x:c>
      <x:c r="D7" s="6" t="str">
        <x:v>damage / hit</x:v>
      </x:c>
      <x:c r="E7" s="6" t="str">
        <x:v>Saved Samurai AttackDamage. No meta, global, shrine, or crit bonuses.</x:v>
      </x:c>
      <x:c r="F7" s="6" t="str">
        <x:v>Source/HeavensDivide/AutoAttackComponent.cpp:224</x:v>
      </x:c>
    </x:row>
    <x:row r="8" ht="30" customHeight="1">
      <x:c r="A8" s="6" t="str">
        <x:v>Blood</x:v>
      </x:c>
      <x:c r="B8" s="6" t="str">
        <x:v>Nominal attack interval</x:v>
      </x:c>
      <x:c r="C8" s="18" t="n">
        <x:f>'Runtime Tuning'!D303/'Runtime Tuning'!D12</x:f>
        <x:v>0.923076923076923</x:v>
      </x:c>
      <x:c r="D8" s="6" t="str">
        <x:v>s</x:v>
      </x:c>
      <x:c r="E8" s="6" t="str">
        <x:v>1.2 / 1.3. Animation/notifies and target availability can limit realized rate.</x:v>
      </x:c>
      <x:c r="F8" s="6" t="str">
        <x:v>Source/HeavensDivide/AutoAttackComponent.cpp:183</x:v>
      </x:c>
    </x:row>
    <x:row r="9" ht="38" customHeight="1">
      <x:c r="A9" s="6" t="str">
        <x:v>Blood</x:v>
      </x:c>
      <x:c r="B9" s="6" t="str">
        <x:v>Melee hit radius</x:v>
      </x:c>
      <x:c r="C9" s="17" t="n">
        <x:f>'Runtime Tuning'!D304*'Runtime Tuning'!D11</x:f>
        <x:v>324</x:v>
      </x:c>
      <x:c r="D9" s="6" t="str">
        <x:v>cm</x:v>
      </x:c>
      <x:c r="E9" s="6" t="str">
        <x:v>240 x 1.35, plus 120 cm forward offset for the normal slash. All melee targets use saved secondary multiplier 1.0.</x:v>
      </x:c>
      <x:c r="F9" s="6" t="str">
        <x:v>Source/HeavensDivide/AutoAttackComponent.cpp:546</x:v>
      </x:c>
    </x:row>
    <x:row r="10" ht="38" customHeight="1">
      <x:c r="A10" s="6" t="str">
        <x:v>Blood</x:v>
      </x:c>
      <x:c r="B10" s="6" t="str">
        <x:v>Bleed per accepted stack</x:v>
      </x:c>
      <x:c r="C10" s="15" t="n">
        <x:v>0.125</x:v>
      </x:c>
      <x:c r="D10" s="6" t="str">
        <x:v>hit fraction over base duration</x:v>
      </x:c>
      <x:c r="E10" s="6" t="str">
        <x:v>Six 0.5 s ticks over 3 s. Snapshot uses the hit that applied each stack. Max 5 stacks without capacity ranks.</x:v>
      </x:c>
      <x:c r="F10" s="6" t="str">
        <x:v>Source/HeavensDivide/EnemyStatusEffectComponent.cpp:49</x:v>
      </x:c>
    </x:row>
    <x:row r="11" ht="30" customHeight="1">
      <x:c r="A11" s="6" t="str">
        <x:v>Blood</x:v>
      </x:c>
      <x:c r="B11" s="6" t="str">
        <x:v>Bleed duration at cap</x:v>
      </x:c>
      <x:c r="C11" s="17" t="n">
        <x:f>'Runtime Tuning'!D6+3*'Runtime Tuning'!D37</x:f>
        <x:v>6</x:v>
      </x:c>
      <x:c r="D11" s="6" t="str">
        <x:v>s</x:v>
      </x:c>
      <x:c r="E11" s="6" t="str">
        <x:v>Three Lingering Wounds ranks; same tick damage, double uninterrupted total budget.</x:v>
      </x:c>
      <x:c r="F11" s="6" t="str">
        <x:v>Source/HeavensDivide/EnemyStatusEffectComponent.cpp:51</x:v>
      </x:c>
    </x:row>
    <x:row r="12" ht="30" customHeight="1">
      <x:c r="A12" s="6" t="str">
        <x:v>Blood</x:v>
      </x:c>
      <x:c r="B12" s="6" t="str">
        <x:v>Echo maximum chance</x:v>
      </x:c>
      <x:c r="C12" s="16" t="n">
        <x:f>'Runtime Tuning'!D21+5*'Runtime Tuning'!D23</x:f>
        <x:v>0.7</x:v>
      </x:c>
      <x:c r="D12" s="6" t="str">
        <x:v>probability</x:v>
      </x:c>
      <x:c r="E12" s="6" t="str">
        <x:v>20% + five 10-point ranks. Full-strength echo, 0.25 s later.</x:v>
      </x:c>
      <x:c r="F12" s="6" t="str">
        <x:v>Source/HeavensDivide/SamuraiAutoAttack.cpp:495</x:v>
      </x:c>
    </x:row>
    <x:row r="13" ht="38" customHeight="1">
      <x:c r="A13" s="6" t="str">
        <x:v>Blood</x:v>
      </x:c>
      <x:c r="B13" s="6" t="str">
        <x:v>Detonation base delay</x:v>
      </x:c>
      <x:c r="C13" s="14" t="n">
        <x:v>2.7</x:v>
      </x:c>
      <x:c r="D13" s="6" t="str">
        <x:v>s</x:v>
      </x:c>
      <x:c r="E13" s="6" t="str">
        <x:v>Saved character property. Snapshot location does not track the victim during the delay.</x:v>
      </x:c>
      <x:c r="F13" s="6" t="str">
        <x:v>Source/HeavensDivide/SamuraiBuildUpgrades.cpp:114</x:v>
      </x:c>
    </x:row>
    <x:row r="14" ht="30" customHeight="1">
      <x:c r="A14" s="6" t="str">
        <x:v>Blood</x:v>
      </x:c>
      <x:c r="B14" s="6" t="str">
        <x:v>Transfer / detonation radius at cap</x:v>
      </x:c>
      <x:c r="C14" s="17" t="n">
        <x:f>'Runtime Tuning'!D20*(1+5*'Runtime Tuning'!D33)</x:f>
        <x:v>450</x:v>
      </x:c>
      <x:c r="D14" s="6" t="str">
        <x:v>cm</x:v>
      </x:c>
      <x:c r="E14" s="6" t="str">
        <x:v>300 x (1 + 5 x 0.1). Only Crimson Reach scales these radii.</x:v>
      </x:c>
      <x:c r="F14" s="6" t="str">
        <x:v>Source/HeavensDivide/SamuraiBuildUpgrades.cpp:109</x:v>
      </x:c>
    </x:row>
    <x:row r="15" ht="30" customHeight="1">
      <x:c r="A15" s="6" t="str">
        <x:v>Iaijutsu</x:v>
      </x:c>
      <x:c r="B15" s="6" t="str">
        <x:v>Unmarked base hit damage</x:v>
      </x:c>
      <x:c r="C15" s="17" t="n">
        <x:f>'Runtime Tuning'!D301*'Runtime Tuning'!D43</x:f>
        <x:v>20</x:v>
      </x:c>
      <x:c r="D15" s="6" t="str">
        <x:v>damage / lane</x:v>
      </x:c>
      <x:c r="E15" s="6" t="str">
        <x:v>8 x 2.5. Existing mark raises damage; applying hit does not benefit from its new mark.</x:v>
      </x:c>
      <x:c r="F15" s="6" t="str">
        <x:v>Source/HeavensDivide/SamuraiAutoAttack.cpp:171</x:v>
      </x:c>
    </x:row>
    <x:row r="16" ht="30" customHeight="1">
      <x:c r="A16" s="6" t="str">
        <x:v>Iaijutsu</x:v>
      </x:c>
      <x:c r="B16" s="6" t="str">
        <x:v>Base charge / recovery</x:v>
      </x:c>
      <x:c r="C16" s="14" t="str">
        <x:v>2.0 + 0.5</x:v>
      </x:c>
      <x:c r="D16" s="6" t="str">
        <x:v>s</x:v>
      </x:c>
      <x:c r="E16" s="6" t="str">
        <x:v>Global run attack speed affects recovery. Permanent cadence converts to charge speed.</x:v>
      </x:c>
      <x:c r="F16" s="6" t="str">
        <x:v>Source/HeavensDivide/AutoAttackComponent.cpp:183</x:v>
      </x:c>
    </x:row>
    <x:row r="17" ht="30" customHeight="1">
      <x:c r="A17" s="6" t="str">
        <x:v>Iaijutsu</x:v>
      </x:c>
      <x:c r="B17" s="6" t="str">
        <x:v>Charge with five charge ranks</x:v>
      </x:c>
      <x:c r="C17" s="18" t="n">
        <x:f>'Runtime Tuning'!D41/(1+5*'Runtime Tuning'!D60)</x:f>
        <x:v>1.1428571428571428</x:v>
      </x:c>
      <x:c r="D17" s="6" t="str">
        <x:v>s</x:v>
      </x:c>
      <x:c r="E17" s="6" t="str">
        <x:v>2 / (1 + 5 x 0.15), before the 0.5 s base recovery.</x:v>
      </x:c>
      <x:c r="F17" s="6" t="str">
        <x:v>Source/HeavensDivide/IaijutsuBuild.h:18</x:v>
      </x:c>
    </x:row>
    <x:row r="18" ht="30" customHeight="1">
      <x:c r="A18" s="6" t="str">
        <x:v>Iaijutsu</x:v>
      </x:c>
      <x:c r="B18" s="6" t="str">
        <x:v>Lane length / half-width</x:v>
      </x:c>
      <x:c r="C18" s="14" t="str">
        <x:v>800 / 200</x:v>
      </x:c>
      <x:c r="D18" s="6" t="str">
        <x:v>cm</x:v>
      </x:c>
      <x:c r="E18" s="6" t="str">
        <x:v>Five width ranks make half-width 450 cm before permanent width and pact penalties.</x:v>
      </x:c>
      <x:c r="F18" s="6" t="str">
        <x:v>Source/HeavensDivide/SamuraiAutoAttack.cpp:178</x:v>
      </x:c>
    </x:row>
    <x:row r="19" ht="30" customHeight="1">
      <x:c r="A19" s="6" t="str">
        <x:v>Iaijutsu</x:v>
      </x:c>
      <x:c r="B19" s="6" t="str">
        <x:v>Vacuum pull speed</x:v>
      </x:c>
      <x:c r="C19" s="17" t="n">
        <x:f>'Runtime Tuning'!D51*'Runtime Tuning'!D52</x:f>
        <x:v>720</x:v>
      </x:c>
      <x:c r="D19" s="6" t="str">
        <x:v>cm/s</x:v>
      </x:c>
      <x:c r="E19" s="6" t="str">
        <x:v>240 x 3. Pull window: final 0.2 s before release plus 0.3 s after hit.</x:v>
      </x:c>
      <x:c r="F19" s="6" t="str">
        <x:v>Source/HeavensDivide/SamuraiIaijutsu.cpp:308</x:v>
      </x:c>
    </x:row>
    <x:row r="20" ht="30" customHeight="1">
      <x:c r="A20" s="6" t="str">
        <x:v>Iaijutsu</x:v>
      </x:c>
      <x:c r="B20" s="6" t="str">
        <x:v>Max mark bonus with Focused Malice</x:v>
      </x:c>
      <x:c r="C20" s="16" t="n">
        <x:f>('Runtime Tuning'!D45+5*'Runtime Tuning'!D72)*'Runtime Tuning'!D73</x:f>
        <x:v>2</x:v>
      </x:c>
      <x:c r="D20" s="6" t="str">
        <x:v>additive damage bonus</x:v>
      </x:c>
      <x:c r="E20" s="6" t="str">
        <x:v>(0.5 + 5 x 0.1) x 2 = +200%, so damage multiplier x3. Pact excludes Relentless Steps.</x:v>
      </x:c>
      <x:c r="F20" s="6" t="str">
        <x:v>Source/HeavensDivide/SamuraiIaijutsu.cpp:399</x:v>
      </x:c>
    </x:row>
    <x:row r="21" ht="30" customHeight="1">
      <x:c r="A21" s="6" t="str">
        <x:v>Iaijutsu</x:v>
      </x:c>
      <x:c r="B21" s="6" t="str">
        <x:v>Final Flourish radius</x:v>
      </x:c>
      <x:c r="C21" s="13" t="n">
        <x:v>250</x:v>
      </x:c>
      <x:c r="D21" s="6" t="str">
        <x:v>cm</x:v>
      </x:c>
      <x:c r="E21" s="6" t="str">
        <x:v>Fixed, independent of slash width and generic attack area.</x:v>
      </x:c>
      <x:c r="F21" s="6" t="str">
        <x:v>Source/HeavensDivide/SamuraiIaijutsu.cpp:378</x:v>
      </x:c>
    </x:row>
    <x:row r="22" ht="30" customHeight="1">
      <x:c r="A22" s="6" t="str">
        <x:v>Iaijutsu</x:v>
      </x:c>
      <x:c r="B22" s="6" t="str">
        <x:v>Flash / Flourish max chance</x:v>
      </x:c>
      <x:c r="C22" s="15" t="str">
        <x:v>40% / 65%</x:v>
      </x:c>
      <x:c r="D22" s="6" t="str">
        <x:v>probability</x:v>
      </x:c>
      <x:c r="E22" s="6" t="str">
        <x:v>Flash ranks add 5 points; Flourish ranks add 10 points.</x:v>
      </x:c>
      <x:c r="F22" s="6" t="str">
        <x:v>Source/HeavensDivide/IaijutsuBuild.h:30</x:v>
      </x:c>
    </x:row>
    <x:row r="23" ht="30" customHeight="1">
      <x:c r="A23" s="6" t="str">
        <x:v>Crescent</x:v>
      </x:c>
      <x:c r="B23" s="6" t="str">
        <x:v>Unupgraded wave damage</x:v>
      </x:c>
      <x:c r="C23" s="17" t="n">
        <x:f>'Runtime Tuning'!D301*'Runtime Tuning'!D84</x:f>
        <x:v>12</x:v>
      </x:c>
      <x:c r="D23" s="6" t="str">
        <x:v>damage / hit</x:v>
      </x:c>
      <x:c r="E23" s="6" t="str">
        <x:v>8 x saved 1.5 multiplier. Older component fallback 0.4 is overridden.</x:v>
      </x:c>
      <x:c r="F23" s="6" t="str">
        <x:v>Source/HeavensDivide/SamuraiAutoAttack.cpp:538</x:v>
      </x:c>
    </x:row>
    <x:row r="24" ht="30" customHeight="1">
      <x:c r="A24" s="6" t="str">
        <x:v>Crescent</x:v>
      </x:c>
      <x:c r="B24" s="6" t="str">
        <x:v>Width / range / speed</x:v>
      </x:c>
      <x:c r="C24" s="14" t="str">
        <x:v>300 / 650 / 1400</x:v>
      </x:c>
      <x:c r="D24" s="6" t="str">
        <x:v>cm / cm / cm per s</x:v>
      </x:c>
      <x:c r="E24" s="6" t="str">
        <x:v>Width scales with attack area. Range and travel speed have separate upgrades.</x:v>
      </x:c>
      <x:c r="F24" s="6" t="str">
        <x:v>Source/HeavensDivide/SamuraiAutoAttack.cpp:536</x:v>
      </x:c>
    </x:row>
    <x:row r="25" ht="38" customHeight="1">
      <x:c r="A25" s="6" t="str">
        <x:v>Crescent</x:v>
      </x:c>
      <x:c r="B25" s="6" t="str">
        <x:v>Normal attack interval</x:v>
      </x:c>
      <x:c r="C25" s="14" t="n">
        <x:v>1.2</x:v>
      </x:c>
      <x:c r="D25" s="6" t="str">
        <x:v>s</x:v>
      </x:c>
      <x:c r="E25" s="6" t="str">
        <x:v>Travel-speed upgrades do not shorten this attack clock. Generic attack-speed bonuses do.</x:v>
      </x:c>
      <x:c r="F25" s="6" t="str">
        <x:v>Source/HeavensDivide/AutoAttackComponent.cpp:183</x:v>
      </x:c>
    </x:row>
    <x:row r="26" ht="30" customHeight="1">
      <x:c r="A26" s="6" t="str">
        <x:v>Crescent</x:v>
      </x:c>
      <x:c r="B26" s="6" t="str">
        <x:v>Max Arc / Split / Wake chance</x:v>
      </x:c>
      <x:c r="C26" s="15" t="str">
        <x:v>40% / 65% / 40%</x:v>
      </x:c>
      <x:c r="D26" s="6" t="str">
        <x:v>probability</x:v>
      </x:c>
      <x:c r="E26" s="6" t="str">
        <x:v>Saved values, not older fallback/documentation numbers.</x:v>
      </x:c>
      <x:c r="F26" s="6" t="str">
        <x:v>Source/HeavensDivide/SamuraiAutoAttack.cpp:555</x:v>
      </x:c>
    </x:row>
    <x:row r="27" ht="30" customHeight="1">
      <x:c r="A27" s="6" t="str">
        <x:v>Crescent</x:v>
      </x:c>
      <x:c r="B27" s="6" t="str">
        <x:v>Maximum primary count per attack</x:v>
      </x:c>
      <x:c r="C27" s="13" t="n">
        <x:v>12</x:v>
      </x:c>
      <x:c r="D27" s="6" t="str">
        <x:v>waves</x:v>
      </x:c>
      <x:c r="E27" s="6" t="str">
        <x:v>Double Cut cross x Arc Volley fan. Split children are additional and cannot recurse.</x:v>
      </x:c>
      <x:c r="F27" s="6" t="str">
        <x:v>Source/HeavensDivide/SamuraiAutoAttack.cpp:574</x:v>
      </x:c>
    </x:row>
    <x:row r="28" ht="30" customHeight="1">
      <x:c r="A28" s="6" t="str">
        <x:v>Crescent</x:v>
      </x:c>
      <x:c r="B28" s="6" t="str">
        <x:v>Wake base / max lifetime</x:v>
      </x:c>
      <x:c r="C28" s="14" t="str">
        <x:v>3 / 5.25</x:v>
      </x:c>
      <x:c r="D28" s="6" t="str">
        <x:v>s</x:v>
      </x:c>
      <x:c r="E28" s="6" t="str">
        <x:v>30% of the pre-pact wave damage per second. Scorched Wake doubles this DPS.</x:v>
      </x:c>
      <x:c r="F28" s="6" t="str">
        <x:v>Source/HeavensDivide/SamuraiWaveField.cpp:24</x:v>
      </x:c>
    </x:row>
    <x:row r="29" ht="38" customHeight="1">
      <x:c r="A29" s="6" t="str">
        <x:v>Crescent</x:v>
      </x:c>
      <x:c r="B29" s="6" t="str">
        <x:v>Scorched Wake max total on base attack</x:v>
      </x:c>
      <x:c r="C29" s="18" t="n">
        <x:f>'Runtime Tuning'!D301*'Runtime Tuning'!D84*'Runtime Tuning'!D101*'Runtime Tuning'!D102*(1+5*'Runtime Tuning'!D107)*'Runtime Tuning'!D105</x:f>
        <x:v>37.8</x:v>
      </x:c>
      <x:c r="D29" s="6" t="str">
        <x:v>damage / field exposure</x:v>
      </x:c>
      <x:c r="E29" s="6" t="str">
        <x:v>12 x 0.3 x 5.25 x 2, if target stays inside for the full field. Excludes damage ranks/meta.</x:v>
      </x:c>
      <x:c r="F29" s="6" t="str">
        <x:v>Source/HeavensDivide/SamuraiWaveField.cpp:31</x:v>
      </x:c>
    </x:row>
    <x:row r="30" ht="30" customHeight="1">
      <x:c r="A30" s="6" t="str">
        <x:v>Returning Fang</x:v>
      </x:c>
      <x:c r="B30" s="6" t="str">
        <x:v>Unupgraded hit damage</x:v>
      </x:c>
      <x:c r="C30" s="13" t="n">
        <x:v>10</x:v>
      </x:c>
      <x:c r="D30" s="6" t="str">
        <x:v>damage / target</x:v>
      </x:c>
      <x:c r="E30" s="6" t="str">
        <x:v>One selected-target outward hit. Returning pass is a reset, not another damage pass.</x:v>
      </x:c>
      <x:c r="F30" s="6" t="str">
        <x:v>Source/HeavensDivide/NinjaBuildProjectile.cpp:183</x:v>
      </x:c>
    </x:row>
    <x:row r="31" ht="38" customHeight="1">
      <x:c r="A31" s="6" t="str">
        <x:v>Returning Fang</x:v>
      </x:c>
      <x:c r="B31" s="6" t="str">
        <x:v>Target range / flight speed</x:v>
      </x:c>
      <x:c r="C31" s="14" t="str">
        <x:v>850 / 900</x:v>
      </x:c>
      <x:c r="D31" s="6" t="str">
        <x:v>cm / cm per s</x:v>
      </x:c>
      <x:c r="E31" s="6" t="str">
        <x:v>1700 x 0.5 target range; 1800 x 0.5 flight speed before attack-speed and flight modifiers.</x:v>
      </x:c>
      <x:c r="F31" s="6" t="str">
        <x:v>Source/HeavensDivide/NinjaBuildProjectile.cpp:78</x:v>
      </x:c>
    </x:row>
    <x:row r="32" ht="30" customHeight="1">
      <x:c r="A32" s="6" t="str">
        <x:v>Returning Fang</x:v>
      </x:c>
      <x:c r="B32" s="6" t="str">
        <x:v>Maximum main launches</x:v>
      </x:c>
      <x:c r="C32" s="13" t="n">
        <x:v>2</x:v>
      </x:c>
      <x:c r="D32" s="6" t="str">
        <x:v>per second</x:v>
      </x:c>
      <x:c r="E32" s="6" t="str">
        <x:v>Saved cap. Short trips wait before relaunch; speed gains can plateau.</x:v>
      </x:c>
      <x:c r="F32" s="6" t="str">
        <x:v>Source/HeavensDivide/NinjaBuildProjectile.cpp:163</x:v>
      </x:c>
    </x:row>
    <x:row r="33" ht="30" customHeight="1">
      <x:c r="A33" s="6" t="str">
        <x:v>Returning Fang</x:v>
      </x:c>
      <x:c r="B33" s="6" t="str">
        <x:v>Crit chance / multiplier at cap</x:v>
      </x:c>
      <x:c r="C33" s="14" t="str">
        <x:v>65% / x2</x:v>
      </x:c>
      <x:c r="D33" s="6" t="str">
        <x:v>probability / multiplier</x:v>
      </x:c>
      <x:c r="E33" s="6" t="str">
        <x:v>With Predator: x3 crit and x0.85 noncrit.</x:v>
      </x:c>
      <x:c r="F33" s="6" t="str">
        <x:v>Source/HeavensDivide/NinjaFangBuild.cpp:88</x:v>
      </x:c>
    </x:row>
    <x:row r="34" ht="38" customHeight="1">
      <x:c r="A34" s="6" t="str">
        <x:v>Returning Fang</x:v>
      </x:c>
      <x:c r="B34" s="6" t="str">
        <x:v>Relentless max bonus at five Pressure ranks</x:v>
      </x:c>
      <x:c r="C34" s="16" t="n">
        <x:f>'Runtime Tuning'!D156*(1+5*'Runtime Tuning'!D138)</x:f>
        <x:v>1.5</x:v>
      </x:c>
      <x:c r="D34" s="6" t="str">
        <x:v>additive damage bonus</x:v>
      </x:c>
      <x:c r="E34" s="6" t="str">
        <x:v>+150%, i.e. x2.5 full hit at streak cap, before other modifiers.</x:v>
      </x:c>
      <x:c r="F34" s="6" t="str">
        <x:v>Source/HeavensDivide/NinjaFangBuild.cpp:76</x:v>
      </x:c>
    </x:row>
    <x:row r="35" ht="30" customHeight="1">
      <x:c r="A35" s="6" t="str">
        <x:v>Returning Fang</x:v>
      </x:c>
      <x:c r="B35" s="6" t="str">
        <x:v>Return burst at ten power ranks</x:v>
      </x:c>
      <x:c r="C35" s="17" t="n">
        <x:f>'Runtime Tuning'!D267*'Runtime Tuning'!D143*(1+10*'Runtime Tuning'!D124)</x:f>
        <x:v>15</x:v>
      </x:c>
      <x:c r="D35" s="6" t="str">
        <x:v>damage / target</x:v>
      </x:c>
      <x:c r="E35" s="6" t="str">
        <x:v>10 x 0.5 x (1 + 10 x 0.2), before damage/meta/pact bonuses.</x:v>
      </x:c>
      <x:c r="F35" s="6" t="str">
        <x:v>Source/HeavensDivide/NinjaFangBuild.cpp:123</x:v>
      </x:c>
    </x:row>
    <x:row r="36" ht="38" customHeight="1">
      <x:c r="A36" s="6" t="str">
        <x:v>Returning Fang</x:v>
      </x:c>
      <x:c r="B36" s="6" t="str">
        <x:v>Redline travel-limited output factor</x:v>
      </x:c>
      <x:c r="C36" s="18" t="n">
        <x:f>'Runtime Tuning'!D142*'Runtime Tuning'!D141</x:f>
        <x:v>1.1199999999999999</x:v>
      </x:c>
      <x:c r="D36" s="6" t="str">
        <x:v>relative rate x damage</x:v>
      </x:c>
      <x:c r="E36" s="6" t="str">
        <x:v>1.6 x 0.7, idealized. At the launch cap, factor can fall to 0.7. Not a measured DPS result.</x:v>
      </x:c>
      <x:c r="F36" s="6" t="str">
        <x:v>Source/HeavensDivide/NinjaFangBuild.cpp:25</x:v>
      </x:c>
    </x:row>
    <x:row r="37" ht="30" customHeight="1">
      <x:c r="A37" s="6" t="str">
        <x:v>Barrage</x:v>
      </x:c>
      <x:c r="B37" s="6" t="str">
        <x:v>Base volley count / damage</x:v>
      </x:c>
      <x:c r="C37" s="14" t="str">
        <x:v>3 / 6</x:v>
      </x:c>
      <x:c r="D37" s="6" t="str">
        <x:v>kunai / damage per kunai</x:v>
      </x:c>
      <x:c r="E37" s="6" t="str">
        <x:v>1 + 2 bonus kunai; 10 x 0.6 damage. Hits can strike different targets.</x:v>
      </x:c>
      <x:c r="F37" s="6" t="str">
        <x:v>Source/HeavensDivide/AutoAttackComponent.cpp:294</x:v>
      </x:c>
    </x:row>
    <x:row r="38" ht="30" customHeight="1">
      <x:c r="A38" s="6" t="str">
        <x:v>Barrage</x:v>
      </x:c>
      <x:c r="B38" s="6" t="str">
        <x:v>Nominal attack interval</x:v>
      </x:c>
      <x:c r="C38" s="18" t="n">
        <x:f>'Runtime Tuning'!D269/(1+'Runtime Tuning'!D186)</x:f>
        <x:v>0.923076923076923</x:v>
      </x:c>
      <x:c r="D38" s="6" t="str">
        <x:v>s</x:v>
      </x:c>
      <x:c r="E38" s="6" t="str">
        <x:v>Before global, permanent, rolled attack-speed, and Point-Blank bonuses.</x:v>
      </x:c>
      <x:c r="F38" s="6" t="str">
        <x:v>Source/HeavensDivide/AutoAttackComponent.cpp:1242</x:v>
      </x:c>
    </x:row>
    <x:row r="39" ht="30" customHeight="1">
      <x:c r="A39" s="6" t="str">
        <x:v>Barrage</x:v>
      </x:c>
      <x:c r="B39" s="6" t="str">
        <x:v>Poison base tick / duration</x:v>
      </x:c>
      <x:c r="C39" s="14" t="str">
        <x:v>0.2 / 5</x:v>
      </x:c>
      <x:c r="D39" s="6" t="str">
        <x:v>s</x:v>
      </x:c>
      <x:c r="E39" s="6" t="str">
        <x:v>25 ticks. Each accepted stack stores 5% of its applying hit over this base duration.</x:v>
      </x:c>
      <x:c r="F39" s="6" t="str">
        <x:v>Source/HeavensDivide/BarragePoison.cpp:25</x:v>
      </x:c>
    </x:row>
    <x:row r="40" ht="38" customHeight="1">
      <x:c r="A40" s="6" t="str">
        <x:v>Barrage</x:v>
      </x:c>
      <x:c r="B40" s="6" t="str">
        <x:v>Max load / stack cap / duration</x:v>
      </x:c>
      <x:c r="C40" s="14" t="str">
        <x:v>4 / 40 / 8</x:v>
      </x:c>
      <x:c r="D40" s="6" t="str">
        <x:v>stacks per hit / stacks / s</x:v>
      </x:c>
      <x:c r="E40" s="6" t="str">
        <x:v>Three load ranks, five capacity ranks, three duration ranks.</x:v>
      </x:c>
      <x:c r="F40" s="6" t="str">
        <x:v>Source/HeavensDivide/BarragePoison.cpp:20</x:v>
      </x:c>
    </x:row>
    <x:row r="41" ht="30" customHeight="1">
      <x:c r="A41" s="6" t="str">
        <x:v>Barrage</x:v>
      </x:c>
      <x:c r="B41" s="6" t="str">
        <x:v>Pool radius at five ranks</x:v>
      </x:c>
      <x:c r="C41" s="17" t="n">
        <x:f>'Runtime Tuning'!D175*(1+5*'Runtime Tuning'!D177)</x:f>
        <x:v>440</x:v>
      </x:c>
      <x:c r="D41" s="6" t="str">
        <x:v>cm</x:v>
      </x:c>
      <x:c r="E41" s="6" t="str">
        <x:v>220 x (1 + 5 x 0.2), then permanent coverage multiplier.</x:v>
      </x:c>
      <x:c r="F41" s="6" t="str">
        <x:v>Source/HeavensDivide/BarragePoisonPool.cpp:32</x:v>
      </x:c>
    </x:row>
    <x:row r="42" ht="30" customHeight="1">
      <x:c r="A42" s="6" t="str">
        <x:v>Barrage</x:v>
      </x:c>
      <x:c r="B42" s="6" t="str">
        <x:v>Procession max bounce retention</x:v>
      </x:c>
      <x:c r="C42" s="16" t="n">
        <x:f>'Runtime Tuning'!D179+('Runtime Tuning'!D193+5*'Runtime Tuning'!D185)*'Runtime Tuning'!D180</x:f>
        <x:v>0.88</x:v>
      </x:c>
      <x:c r="D42" s="6" t="str">
        <x:v>fraction per bounce</x:v>
      </x:c>
      <x:c r="E42" s="6" t="str">
        <x:v>0.75 + (0.15 + 5 x 0.1) x 0.2. Three extra targets; splitting disabled.</x:v>
      </x:c>
      <x:c r="F42" s="6" t="str">
        <x:v>Source/HeavensDivide/AttackProjectileBase.cpp:176</x:v>
      </x:c>
    </x:row>
    <x:row r="43" ht="30" customHeight="1">
      <x:c r="A43" s="6" t="str">
        <x:v>Barrage</x:v>
      </x:c>
      <x:c r="B43" s="6" t="str">
        <x:v>Needle Rain max cadence</x:v>
      </x:c>
      <x:c r="C43" s="13" t="n">
        <x:v>1</x:v>
      </x:c>
      <x:c r="D43" s="6" t="str">
        <x:v>attack per proc</x:v>
      </x:c>
      <x:c r="E43" s="6" t="str">
        <x:v>At three Relentless Rain ranks, every volley doubles the current projectile count.</x:v>
      </x:c>
      <x:c r="F43" s="6" t="str">
        <x:v>Source/HeavensDivide/NinjaBuildComponent.cpp:314</x:v>
      </x:c>
    </x:row>
    <x:row r="44" ht="30" customHeight="1">
      <x:c r="A44" s="6" t="str">
        <x:v>Giant Shuriken</x:v>
      </x:c>
      <x:c r="B44" s="6" t="str">
        <x:v>Base contact damage / throw interval</x:v>
      </x:c>
      <x:c r="C44" s="14" t="str">
        <x:v>15 / 2.4</x:v>
      </x:c>
      <x:c r="D44" s="6" t="str">
        <x:v>damage / s</x:v>
      </x:c>
      <x:c r="E44" s="6" t="str">
        <x:v>10 x 1.5; 1.2 / 0.5. Contact timing is a separate 0.25-second per-enemy clock.</x:v>
      </x:c>
      <x:c r="F44" s="6" t="str">
        <x:v>Source/HeavensDivide/NinjaBuildComponent.cpp:268</x:v>
      </x:c>
    </x:row>
    <x:row r="45" ht="30" customHeight="1">
      <x:c r="A45" s="6" t="str">
        <x:v>Giant Shuriken</x:v>
      </x:c>
      <x:c r="B45" s="6" t="str">
        <x:v>Radius / speed / lifetime</x:v>
      </x:c>
      <x:c r="C45" s="14" t="str">
        <x:v>140 / 800 / 1.5</x:v>
      </x:c>
      <x:c r="D45" s="6" t="str">
        <x:v>cm / cm per s / s</x:v>
      </x:c>
      <x:c r="E45" s="6" t="str">
        <x:v>Travel speed comes directly from stance tuning, not projectile-speed stat.</x:v>
      </x:c>
      <x:c r="F45" s="6" t="str">
        <x:v>Source/HeavensDivide/NinjaBuildComponent.cpp:242</x:v>
      </x:c>
    </x:row>
    <x:row r="46" ht="38" customHeight="1">
      <x:c r="A46" s="6" t="str">
        <x:v>Giant Shuriken</x:v>
      </x:c>
      <x:c r="B46" s="6" t="str">
        <x:v>Contact interval with five Tempo ranks</x:v>
      </x:c>
      <x:c r="C46" s="18" t="n">
        <x:f>'Runtime Tuning'!D199/(1+5*'Runtime Tuning'!D227)</x:f>
        <x:v>0.14285714285714285</x:v>
      </x:c>
      <x:c r="D46" s="6" t="str">
        <x:v>s</x:v>
      </x:c>
      <x:c r="E46" s="6" t="str">
        <x:v>0.25 / 1.75 before permanent tempo. Minimum 0.05 s.</x:v>
      </x:c>
      <x:c r="F46" s="6" t="str">
        <x:v>Source/HeavensDivide/ShurikenBuild.cpp:11</x:v>
      </x:c>
    </x:row>
    <x:row r="47" ht="30" customHeight="1">
      <x:c r="A47" s="6" t="str">
        <x:v>Giant Shuriken</x:v>
      </x:c>
      <x:c r="B47" s="6" t="str">
        <x:v>Pulse interval with five Tempo ranks</x:v>
      </x:c>
      <x:c r="C47" s="18" t="n">
        <x:f>'Runtime Tuning'!D224/(1+5*'Runtime Tuning'!D227)</x:f>
        <x:v>0.5714285714285714</x:v>
      </x:c>
      <x:c r="D47" s="6" t="str">
        <x:v>s</x:v>
      </x:c>
      <x:c r="E47" s="6" t="str">
        <x:v>1 / 1.75 before permanent tempo. Minimum 0.2 s.</x:v>
      </x:c>
      <x:c r="F47" s="6" t="str">
        <x:v>Source/HeavensDivide/ShurikenBuild.cpp:13</x:v>
      </x:c>
    </x:row>
    <x:row r="48" ht="38" customHeight="1">
      <x:c r="A48" s="6" t="str">
        <x:v>Giant Shuriken</x:v>
      </x:c>
      <x:c r="B48" s="6" t="str">
        <x:v>Max lifetime / grind duration</x:v>
      </x:c>
      <x:c r="C48" s="14" t="str">
        <x:v>2.85 / 2.0</x:v>
      </x:c>
      <x:c r="D48" s="6" t="str">
        <x:v>s</x:v>
      </x:c>
      <x:c r="E48" s="6" t="str">
        <x:v>Grind does not pause lifetime. Without lifetime ranks, nominal grind duration can exceed the blade lifespan.</x:v>
      </x:c>
      <x:c r="F48" s="6" t="str">
        <x:v>Source/HeavensDivide/NinjaBuildComponent.cpp:247</x:v>
      </x:c>
    </x:row>
    <x:row r="49" ht="30" customHeight="1">
      <x:c r="A49" s="6" t="str">
        <x:v>Giant Shuriken</x:v>
      </x:c>
      <x:c r="B49" s="6" t="str">
        <x:v>Growth cap with five Growth ranks</x:v>
      </x:c>
      <x:c r="C49" s="17" t="n">
        <x:f>'Runtime Tuning'!D232+5*'Runtime Tuning'!D218</x:f>
        <x:v>3</x:v>
      </x:c>
      <x:c r="D49" s="6" t="str">
        <x:v>times initial radius</x:v>
      </x:c>
      <x:c r="E49" s="6" t="str">
        <x:v>Growing Shuriken and Hunger share this size cap.</x:v>
      </x:c>
      <x:c r="F49" s="6" t="str">
        <x:v>Source/HeavensDivide/NinjaShurikenBuild.cpp:29</x:v>
      </x:c>
    </x:row>
    <x:row r="50" ht="30" customHeight="1">
      <x:c r="A50" s="6" t="str">
        <x:v>Giant Shuriken</x:v>
      </x:c>
      <x:c r="B50" s="6" t="str">
        <x:v>Orbit + Pulse contact factor</x:v>
      </x:c>
      <x:c r="C50" s="18" t="n">
        <x:f>'Runtime Tuning'!D221*'Runtime Tuning'!D223</x:f>
        <x:v>0.45499999999999996</x:v>
      </x:c>
      <x:c r="D50" s="6" t="str">
        <x:v>multiplier</x:v>
      </x:c>
      <x:c r="E50" s="6" t="str">
        <x:v>0.7 x 0.65. Bursts escape these contact-only penalties.</x:v>
      </x:c>
      <x:c r="F50" s="6" t="str">
        <x:v>Source/HeavensDivide/NinjaShurikenBuild.cpp:49</x:v>
      </x:c>
    </x:row>
    <x:row r="51" ht="38" customHeight="1">
      <x:c r="A51" s="6" t="str">
        <x:v>Giant Shuriken</x:v>
      </x:c>
      <x:c r="B51" s="6" t="str">
        <x:v>Concurrent blade limit</x:v>
      </x:c>
      <x:c r="C51" s="13" t="n">
        <x:v>8</x:v>
      </x:c>
      <x:c r="D51" s="6" t="str">
        <x:v>shurikens</x:v>
      </x:c>
      <x:c r="E51" s="6" t="str">
        <x:v>Shared component limit; total custom projectiles limited to 128. Further spawns can be skipped.</x:v>
      </x:c>
      <x:c r="F51" s="6" t="str">
        <x:v>Source/HeavensDivide/NinjaBuildComponent.cpp:110</x:v>
      </x:c>
    </x:row>
  </x:sheetData>
  <x:mergeCells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dcbf7555681b4750"/>
  </x:tableParts>
</x:worksheet>
</file>

<file path=xl/worksheets/sheet3.xml><?xml version="1.0" encoding="utf-8"?>
<x:worksheet xmlns:x="http://schemas.openxmlformats.org/spreadsheetml/2006/main">
  <x:sheetPr>
    <x:tabColor rgb="FF176B7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5.630000114440918" hidden="0" customWidth="1"/>
    <x:col min="2" max="2" width="21.25" hidden="0" customWidth="1"/>
    <x:col min="3" max="3" width="25" hidden="0" customWidth="1"/>
    <x:col min="4" max="4" width="7.5" hidden="0" customWidth="1"/>
    <x:col min="5" max="5" width="16.8799991607666" hidden="0" customWidth="1"/>
    <x:col min="6" max="6" width="16.25" hidden="0" customWidth="1"/>
    <x:col min="7" max="7" width="46.25" hidden="0" customWidth="1"/>
    <x:col min="8" max="8" width="55.630001068115234" hidden="0" customWidth="1"/>
    <x:col min="9" max="9" width="37.5" hidden="0" customWidth="1"/>
    <x:col min="10" max="10" width="20" hidden="0" customWidth="1"/>
    <x:col min="11" max="11" width="52.5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9" customHeight="1">
      <x:c r="A2" s="3" t="str">
        <x:v>All stance and shared upgrades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4" customHeight="1">
      <x:c r="A3" s="5" t="str">
        <x:v>150 saved definitions. Active means eligible through the listed route when prerequisites are met, not that every card can coexist in one run.</x:v>
      </x:c>
      <x:c r="B3" s="6"/>
      <x:c r="C3" s="6"/>
      <x:c r="D3" s="6"/>
      <x:c r="E3" s="6"/>
      <x:c r="F3" s="6"/>
      <x:c r="G3" s="2"/>
      <x:c r="H3" s="2"/>
      <x:c r="I3" s="2"/>
      <x:c r="J3" s="2"/>
      <x:c r="K3" s="2"/>
    </x:row>
    <x:row r="4" ht="8" customHeight="1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</x:row>
    <x:row r="5" ht="34" customHeight="1">
      <x:c r="A5" s="12" t="str">
        <x:v>Stance / scope</x:v>
      </x:c>
      <x:c r="B5" s="12" t="str">
        <x:v>Upgrade</x:v>
      </x:c>
      <x:c r="C5" s="12" t="str">
        <x:v>Stable ID</x:v>
      </x:c>
      <x:c r="D5" s="12" t="str">
        <x:v>Rank cap</x:v>
      </x:c>
      <x:c r="E5" s="12" t="str">
        <x:v>Rarity</x:v>
      </x:c>
      <x:c r="F5" s="12" t="str">
        <x:v>Acquisition</x:v>
      </x:c>
      <x:c r="G5" s="12" t="str">
        <x:v>Saved card effect</x:v>
      </x:c>
      <x:c r="H5" s="12" t="str">
        <x:v>Runtime behavior and audit notes</x:v>
      </x:c>
      <x:c r="I5" s="12" t="str">
        <x:v>Prerequisites / exclusivity</x:v>
      </x:c>
      <x:c r="J5" s="12" t="str">
        <x:v>Availability</x:v>
      </x:c>
      <x:c r="K5" s="12" t="str">
        <x:v>Asset and implementation source</x:v>
      </x:c>
    </x:row>
    <x:row r="6" ht="77" customHeight="1">
      <x:c r="A6" s="6" t="str">
        <x:v>Blood</x:v>
      </x:c>
      <x:c r="B6" s="6" t="str">
        <x:v>Blood Stance</x:v>
      </x:c>
      <x:c r="C6" s="6" t="str">
        <x:v>BattleStance</x:v>
      </x:c>
      <x:c r="D6" s="13" t="n">
        <x:v>1</x:v>
      </x:c>
      <x:c r="E6" s="6" t="str">
        <x:v>Rare (fixed)</x:v>
      </x:c>
      <x:c r="F6" s="6" t="str">
        <x:v>Starting loadout</x:v>
      </x:c>
      <x:c r="G6" s="6" t="str">
        <x:v>+35% area and +30% attack speed. Hits inflict Bleed: 12.5% hit damage per stack over 3s. Up to 5 stacks; hits refresh them.</x:v>
      </x:c>
      <x:c r="H6" s="6" t="str">
        <x:v>Multiplicative x1.35 melee radius and x1.30 attack rate. Bleed snapshots applying-hit damage, including crits; later duration ranks add ticks.</x:v>
      </x:c>
      <x:c r="I6" s="6" t="str">
        <x:v>None
Exclusivity group: SamuraiStance</x:v>
      </x:c>
      <x:c r="J6" s="6" t="str">
        <x:v>Active</x:v>
      </x:c>
      <x:c r="K6" s="6" t="str">
        <x:v>/Game/HeavensDivide/Upgrades/Samurai/DA_Upgrade_SamuraiBattleStance
Source/HeavensDivide/PlayerUpgradeStats.cpp:126
Source/HeavensDivide/SamuraiAutoAttack.cpp:45
Source/HeavensDivide/SamuraiBuildUpgrades.cpp:30</x:v>
      </x:c>
    </x:row>
    <x:row r="7" ht="51" customHeight="1">
      <x:c r="A7" s="6" t="str">
        <x:v>Blood</x:v>
      </x:c>
      <x:c r="B7" s="6" t="str">
        <x:v>Blood Rush</x:v>
      </x:c>
      <x:c r="C7" s="6" t="str">
        <x:v>BloodRush</x:v>
      </x:c>
      <x:c r="D7" s="13" t="n">
        <x:v>1</x:v>
      </x:c>
      <x:c r="E7" s="6" t="str">
        <x:v>Common (fixed)</x:v>
      </x:c>
      <x:c r="F7" s="6" t="str">
        <x:v>Level-up</x:v>
      </x:c>
      <x:c r="G7" s="6" t="str">
        <x:v>Bleeding kills grant +20% movement speed for 3s. Kills refresh it; swapping ends it.</x:v>
      </x:c>
      <x:c r="H7" s="6" t="str"/>
      <x:c r="I7" s="6" t="str">
        <x:v>BattleStance</x:v>
      </x:c>
      <x:c r="J7" s="6" t="str">
        <x:v>Active</x:v>
      </x:c>
      <x:c r="K7" s="6" t="str">
        <x:v>/Game/HeavensDivide/Upgrades/Samurai/DA_Upgrade_SamuraiBloodRush
Source/HeavensDivide/SamuraiBuildUpgrades.cpp:30</x:v>
      </x:c>
    </x:row>
    <x:row r="8" ht="51" customHeight="1">
      <x:c r="A8" s="6" t="str">
        <x:v>Blood</x:v>
      </x:c>
      <x:c r="B8" s="6" t="str">
        <x:v>Blood Transfer</x:v>
      </x:c>
      <x:c r="C8" s="6" t="str">
        <x:v>BloodTransfer</x:v>
      </x:c>
      <x:c r="D8" s="13" t="n">
        <x:v>1</x:v>
      </x:c>
      <x:c r="E8" s="6" t="str">
        <x:v>Common (fixed)</x:v>
      </x:c>
      <x:c r="F8" s="6" t="str">
        <x:v>Level-up</x:v>
      </x:c>
      <x:c r="G8" s="6" t="str">
        <x:v>When a bleeding enemy dies, its Bleed stacks spread to nearby enemies.</x:v>
      </x:c>
      <x:c r="H8" s="6" t="str">
        <x:v>Transfers full accepted stacks and proportional stored tick damage to every nearby valid target (query limited to 128). Saved Targets=5 and TransferFraction=0.5 are not read (F03).</x:v>
      </x:c>
      <x:c r="I8" s="6" t="str">
        <x:v>BattleStance</x:v>
      </x:c>
      <x:c r="J8" s="6" t="str">
        <x:v>Active</x:v>
      </x:c>
      <x:c r="K8" s="6" t="str">
        <x:v>/Game/HeavensDivide/Upgrades/Samurai/DA_Upgrade_SamuraiBloodTransfer
Source/HeavensDivide/SamuraiBuildUpgrades.cpp:163</x:v>
      </x:c>
    </x:row>
    <x:row r="9" ht="51" customHeight="1">
      <x:c r="A9" s="6" t="str">
        <x:v>Blood</x:v>
      </x:c>
      <x:c r="B9" s="6" t="str">
        <x:v>Critical Strike</x:v>
      </x:c>
      <x:c r="C9" s="6" t="str">
        <x:v>BloodCritical</x:v>
      </x:c>
      <x:c r="D9" s="13" t="n">
        <x:v>1</x:v>
      </x:c>
      <x:c r="E9" s="6" t="str">
        <x:v>Common (fixed)</x:v>
      </x:c>
      <x:c r="F9" s="6" t="str">
        <x:v>Level-up</x:v>
      </x:c>
      <x:c r="G9" s="6" t="str">
        <x:v>Attacks have a 15% chance to deal 2x damage.</x:v>
      </x:c>
      <x:c r="H9" s="6" t="str">
        <x:v>Critical multiplier x2; one roll per slash. Bleed uses that increased hit damage. An echo makes its own critical roll.</x:v>
      </x:c>
      <x:c r="I9" s="6" t="str">
        <x:v>BattleStance</x:v>
      </x:c>
      <x:c r="J9" s="6" t="str">
        <x:v>Active</x:v>
      </x:c>
      <x:c r="K9" s="6" t="str">
        <x:v>/Game/HeavensDivide/Upgrades/Samurai/DA_Upgrade_SamuraiBloodCritical
Source/HeavensDivide/SamuraiAutoAttack.cpp:337</x:v>
      </x:c>
    </x:row>
    <x:row r="10" ht="51" customHeight="1">
      <x:c r="A10" s="6" t="str">
        <x:v>Blood</x:v>
      </x:c>
      <x:c r="B10" s="6" t="str">
        <x:v>Double Cut</x:v>
      </x:c>
      <x:c r="C10" s="6" t="str">
        <x:v>DoubleCut</x:v>
      </x:c>
      <x:c r="D10" s="13" t="n">
        <x:v>1</x:v>
      </x:c>
      <x:c r="E10" s="6" t="str">
        <x:v>Common (fixed)</x:v>
      </x:c>
      <x:c r="F10" s="6" t="str">
        <x:v>Level-up</x:v>
      </x:c>
      <x:c r="G10" s="6" t="str">
        <x:v>Every 4th attack strikes in a full circle.</x:v>
      </x:c>
      <x:c r="H10" s="6" t="str"/>
      <x:c r="I10" s="6" t="str">
        <x:v>BattleStance</x:v>
      </x:c>
      <x:c r="J10" s="6" t="str">
        <x:v>Active</x:v>
      </x:c>
      <x:c r="K10" s="6" t="str">
        <x:v>/Game/HeavensDivide/Upgrades/Samurai/DA_Upgrade_SamuraiDoubleCut
Source/HeavensDivide/SamuraiAutoAttack.cpp:427</x:v>
      </x:c>
    </x:row>
    <x:row r="11" ht="51" customHeight="1">
      <x:c r="A11" s="6" t="str">
        <x:v>Blood</x:v>
      </x:c>
      <x:c r="B11" s="6" t="str">
        <x:v>Echoing Slash</x:v>
      </x:c>
      <x:c r="C11" s="6" t="str">
        <x:v>BloodEcho</x:v>
      </x:c>
      <x:c r="D11" s="13" t="n">
        <x:v>1</x:v>
      </x:c>
      <x:c r="E11" s="6" t="str">
        <x:v>Common (fixed)</x:v>
      </x:c>
      <x:c r="F11" s="6" t="str">
        <x:v>Level-up</x:v>
      </x:c>
      <x:c r="G11" s="6" t="str">
        <x:v>20% chance to repeat your slash at 100% damage. Echoes cannot trigger more echoes.</x:v>
      </x:c>
      <x:c r="H11" s="6" t="str">
        <x:v>Independent critical roll for the echo slash. Uses the committed slash origin/shape, applies Bleed, and cannot echo itself. Saved delay 0.25 s.</x:v>
      </x:c>
      <x:c r="I11" s="6" t="str">
        <x:v>BattleStance</x:v>
      </x:c>
      <x:c r="J11" s="6" t="str">
        <x:v>Active</x:v>
      </x:c>
      <x:c r="K11" s="6" t="str">
        <x:v>/Game/HeavensDivide/Upgrades/Samurai/DA_Upgrade_SamuraiBloodEcho
Source/HeavensDivide/SamuraiAutoAttack.cpp:495</x:v>
      </x:c>
    </x:row>
    <x:row r="12" ht="51" customHeight="1">
      <x:c r="A12" s="6" t="str">
        <x:v>Blood</x:v>
      </x:c>
      <x:c r="B12" s="6" t="str">
        <x:v>Ninja Assist</x:v>
      </x:c>
      <x:c r="C12" s="6" t="str">
        <x:v>BloodAssist</x:v>
      </x:c>
      <x:c r="D12" s="13" t="n">
        <x:v>1</x:v>
      </x:c>
      <x:c r="E12" s="6" t="str">
        <x:v>Common (fixed)</x:v>
      </x:c>
      <x:c r="F12" s="6" t="str">
        <x:v>Level-up</x:v>
      </x:c>
      <x:c r="G12" s="6" t="str">
        <x:v>Attacks have a 5% chance to trigger a Ninja assist.</x:v>
      </x:c>
      <x:c r="H12" s="6" t="str">
        <x:v>Rolls on normal committed attacks. Busy/placement guards can reject an assist; echoes do not recursively call one.</x:v>
      </x:c>
      <x:c r="I12" s="6" t="str">
        <x:v>BattleStance</x:v>
      </x:c>
      <x:c r="J12" s="6" t="str">
        <x:v>Active</x:v>
      </x:c>
      <x:c r="K12" s="6" t="str">
        <x:v>/Game/HeavensDivide/Upgrades/Samurai/DA_Upgrade_SamuraiBloodAssist
Source/HeavensDivide/SamuraiAutoAttack.cpp:877</x:v>
      </x:c>
    </x:row>
    <x:row r="13" ht="38" customHeight="1">
      <x:c r="A13" s="6" t="str">
        <x:v>Blood</x:v>
      </x:c>
      <x:c r="B13" s="6" t="str">
        <x:v>Attack Area</x:v>
      </x:c>
      <x:c r="C13" s="6" t="str">
        <x:v>SamuraiArea</x:v>
      </x:c>
      <x:c r="D13" s="13" t="n">
        <x:v>5</x:v>
      </x:c>
      <x:c r="E13" s="6" t="str">
        <x:v>Common / Rare / Epic</x:v>
      </x:c>
      <x:c r="F13" s="6" t="str">
        <x:v>Level-up</x:v>
      </x:c>
      <x:c r="G13" s="6" t="str">
        <x:v>+15% Samurai attack area. Becomes slash width or wave range with your stance.</x:v>
      </x:c>
      <x:c r="H13" s="6" t="str">
        <x:v>Blood uses rolled 15/25/40% ranks. Converts to Iaijutsu width or Crescent travel range. Does not enlarge Blood Transfer/Detonation.</x:v>
      </x:c>
      <x:c r="I13" s="6" t="str">
        <x:v>Blood stance in normal loadouts</x:v>
      </x:c>
      <x:c r="J13" s="6" t="str">
        <x:v>Active</x:v>
      </x:c>
      <x:c r="K13" s="6" t="str">
        <x:v>/Game/HeavensDivide/Upgrades/Samurai/DA_Upgrade_SamuraiArea
Source/HeavensDivide/PlayerUpgradeStats.cpp:126</x:v>
      </x:c>
    </x:row>
    <x:row r="14" ht="51" customHeight="1">
      <x:c r="A14" s="6" t="str">
        <x:v>Blood</x:v>
      </x:c>
      <x:c r="B14" s="6" t="str">
        <x:v>Attack Damage</x:v>
      </x:c>
      <x:c r="C14" s="6" t="str">
        <x:v>SamuraiHeavyBlade</x:v>
      </x:c>
      <x:c r="D14" s="13" t="n">
        <x:v>5</x:v>
      </x:c>
      <x:c r="E14" s="6" t="str">
        <x:v>Common / Rare / Epic</x:v>
      </x:c>
      <x:c r="F14" s="6" t="str">
        <x:v>Level-up</x:v>
      </x:c>
      <x:c r="G14" s="6" t="str">
        <x:v>Samurai attacks deal 20% more damage in any stance.</x:v>
      </x:c>
      <x:c r="H14" s="6" t="str">
        <x:v>Blood uses rolled 20/30/40% ranks. Existing investment converts proportionally to Iaijutsu Damage or Wave Damage when a stance is selected/restored.</x:v>
      </x:c>
      <x:c r="I14" s="6" t="str">
        <x:v>Blood stance in normal loadouts</x:v>
      </x:c>
      <x:c r="J14" s="6" t="str">
        <x:v>Active</x:v>
      </x:c>
      <x:c r="K14" s="6" t="str">
        <x:v>/Game/HeavensDivide/Upgrades/Samurai/DA_Upgrade_SamuraiHeavyBlade
Source/HeavensDivide/PlayerUpgradeStats.cpp:126</x:v>
      </x:c>
    </x:row>
    <x:row r="15" ht="51" customHeight="1">
      <x:c r="A15" s="6" t="str">
        <x:v>Blood</x:v>
      </x:c>
      <x:c r="B15" s="6" t="str">
        <x:v>Attack Speed</x:v>
      </x:c>
      <x:c r="C15" s="6" t="str">
        <x:v>SamuraiTempo</x:v>
      </x:c>
      <x:c r="D15" s="13" t="n">
        <x:v>5</x:v>
      </x:c>
      <x:c r="E15" s="6" t="str">
        <x:v>Common / Rare / Epic</x:v>
      </x:c>
      <x:c r="F15" s="6" t="str">
        <x:v>Level-up</x:v>
      </x:c>
      <x:c r="G15" s="6" t="str">
        <x:v>+10% Samurai attack speed. Becomes charge speed or wave speed with your stance.</x:v>
      </x:c>
      <x:c r="H15" s="6" t="str">
        <x:v>Blood uses rolled 10/15/20% ranks. Converts to Iaijutsu charge speed or Crescent wave travel speed, not their attack rate.</x:v>
      </x:c>
      <x:c r="I15" s="6" t="str">
        <x:v>Blood stance in normal loadouts</x:v>
      </x:c>
      <x:c r="J15" s="6" t="str">
        <x:v>Active</x:v>
      </x:c>
      <x:c r="K15" s="6" t="str">
        <x:v>/Game/HeavensDivide/Upgrades/Samurai/DA_Upgrade_SamuraiSamuraiTempo
Source/HeavensDivide/PlayerUpgradeStats.cpp:126</x:v>
      </x:c>
    </x:row>
    <x:row r="16" ht="51" customHeight="1">
      <x:c r="A16" s="6" t="str">
        <x:v>Blood</x:v>
      </x:c>
      <x:c r="B16" s="6" t="str">
        <x:v>Bloodletting</x:v>
      </x:c>
      <x:c r="C16" s="6" t="str">
        <x:v>Bloodletting</x:v>
      </x:c>
      <x:c r="D16" s="13" t="n">
        <x:v>5</x:v>
      </x:c>
      <x:c r="E16" s="6" t="str">
        <x:v>Common (fixed)</x:v>
      </x:c>
      <x:c r="F16" s="6" t="str">
        <x:v>Level-up</x:v>
      </x:c>
      <x:c r="G16" s="6" t="str">
        <x:v>Each hit applies 1 additional Bleed stack.</x:v>
      </x:c>
      <x:c r="H16" s="6" t="str">
        <x:v>Adds stacks per hit, then clamps to the current stack cap. Rank 5 has no extra stack benefit without at least one Deep Reserves rank (F01).</x:v>
      </x:c>
      <x:c r="I16" s="6" t="str">
        <x:v>BattleStance</x:v>
      </x:c>
      <x:c r="J16" s="6" t="str">
        <x:v>Active</x:v>
      </x:c>
      <x:c r="K16" s="6" t="str">
        <x:v>/Game/HeavensDivide/Upgrades/Samurai/DA_Upgrade_SamuraiBloodletting
Source/HeavensDivide/EnemyStatusEffectComponent.cpp:41</x:v>
      </x:c>
    </x:row>
    <x:row r="17" ht="51" customHeight="1">
      <x:c r="A17" s="6" t="str">
        <x:v>Blood</x:v>
      </x:c>
      <x:c r="B17" s="6" t="str">
        <x:v>Crimson Reach</x:v>
      </x:c>
      <x:c r="C17" s="6" t="str">
        <x:v>BloodTransferArea</x:v>
      </x:c>
      <x:c r="D17" s="13" t="n">
        <x:v>5</x:v>
      </x:c>
      <x:c r="E17" s="6" t="str">
        <x:v>Rare (fixed)</x:v>
      </x:c>
      <x:c r="F17" s="6" t="str">
        <x:v>Level-up</x:v>
      </x:c>
      <x:c r="G17" s="6" t="str">
        <x:v>+10% Blood Transfer and Blood Detonation radius.</x:v>
      </x:c>
      <x:c r="H17" s="6" t="str">
        <x:v>Available after Blood Transfer OR Blood Detonation. Radius 300 to 450 cm at max rank. Independent of attack area and permanent coverage.</x:v>
      </x:c>
      <x:c r="I17" s="6" t="str">
        <x:v>BattleStance; BloodTransfer OR BloodDetonation</x:v>
      </x:c>
      <x:c r="J17" s="6" t="str">
        <x:v>Active</x:v>
      </x:c>
      <x:c r="K17" s="6" t="str">
        <x:v>/Game/HeavensDivide/Upgrades/Samurai/DA_Upgrade_SamuraiBloodTransferArea
Source/HeavensDivide/SamuraiBuildUpgrades.cpp:109</x:v>
      </x:c>
    </x:row>
    <x:row r="18" ht="51" customHeight="1">
      <x:c r="A18" s="6" t="str">
        <x:v>Blood</x:v>
      </x:c>
      <x:c r="B18" s="6" t="str">
        <x:v>Deep Reserves</x:v>
      </x:c>
      <x:c r="C18" s="6" t="str">
        <x:v>BloodCapacity</x:v>
      </x:c>
      <x:c r="D18" s="13" t="n">
        <x:v>5</x:v>
      </x:c>
      <x:c r="E18" s="6" t="str">
        <x:v>Rare (fixed)</x:v>
      </x:c>
      <x:c r="F18" s="6" t="str">
        <x:v>Level-up</x:v>
      </x:c>
      <x:c r="G18" s="6" t="str">
        <x:v>Increase the maximum number of Bleed stacks on each enemy by 1.</x:v>
      </x:c>
      <x:c r="H18" s="6" t="str">
        <x:v>Raises the per-enemy cap from 5 to 10. Detonation needs the new cap too, so more capacity also delays its trigger.</x:v>
      </x:c>
      <x:c r="I18" s="6" t="str">
        <x:v>BattleStance</x:v>
      </x:c>
      <x:c r="J18" s="6" t="str">
        <x:v>Active</x:v>
      </x:c>
      <x:c r="K18" s="6" t="str">
        <x:v>/Game/HeavensDivide/Upgrades/Samurai/DA_Upgrade_SamuraiBloodCapacity
Source/HeavensDivide/PlayerUpgradeComponent.cpp:46</x:v>
      </x:c>
    </x:row>
    <x:row r="19" ht="51" customHeight="1">
      <x:c r="A19" s="6" t="str">
        <x:v>Blood</x:v>
      </x:c>
      <x:c r="B19" s="6" t="str">
        <x:v>Echo Mastery</x:v>
      </x:c>
      <x:c r="C19" s="6" t="str">
        <x:v>BloodEchoChance</x:v>
      </x:c>
      <x:c r="D19" s="13" t="n">
        <x:v>5</x:v>
      </x:c>
      <x:c r="E19" s="6" t="str">
        <x:v>Rare (fixed)</x:v>
      </x:c>
      <x:c r="F19" s="6" t="str">
        <x:v>Level-up</x:v>
      </x:c>
      <x:c r="G19" s="6" t="str">
        <x:v>+10% chance to trigger Echoing Slash.</x:v>
      </x:c>
      <x:c r="H19" s="6" t="str">
        <x:v>Saved base 20% + 10 percentage points per rank = 70% at rank 5.</x:v>
      </x:c>
      <x:c r="I19" s="6" t="str">
        <x:v>BattleStance; BloodEcho</x:v>
      </x:c>
      <x:c r="J19" s="6" t="str">
        <x:v>Active</x:v>
      </x:c>
      <x:c r="K19" s="6" t="str">
        <x:v>/Game/HeavensDivide/Upgrades/Samurai/DA_Upgrade_SamuraiBloodEchoChance
Source/HeavensDivide/SamuraiAutoAttack.cpp:496</x:v>
      </x:c>
    </x:row>
    <x:row r="20" ht="51" customHeight="1">
      <x:c r="A20" s="6" t="str">
        <x:v>Blood</x:v>
      </x:c>
      <x:c r="B20" s="6" t="str">
        <x:v>Keen Edge</x:v>
      </x:c>
      <x:c r="C20" s="6" t="str">
        <x:v>BloodCriticalChance</x:v>
      </x:c>
      <x:c r="D20" s="13" t="n">
        <x:v>5</x:v>
      </x:c>
      <x:c r="E20" s="6" t="str">
        <x:v>Rare (fixed)</x:v>
      </x:c>
      <x:c r="F20" s="6" t="str">
        <x:v>Level-up</x:v>
      </x:c>
      <x:c r="G20" s="6" t="str">
        <x:v>+10% chance to trigger Critical Strike.</x:v>
      </x:c>
      <x:c r="H20" s="6" t="str">
        <x:v>15% base + 10 percentage points per rank = 65% at rank 5.</x:v>
      </x:c>
      <x:c r="I20" s="6" t="str">
        <x:v>BattleStance; BloodCritical</x:v>
      </x:c>
      <x:c r="J20" s="6" t="str">
        <x:v>Active</x:v>
      </x:c>
      <x:c r="K20" s="6" t="str">
        <x:v>/Game/HeavensDivide/Upgrades/Samurai/DA_Upgrade_SamuraiBloodCriticalChance
Source/HeavensDivide/SamuraiAutoAttack.cpp:338</x:v>
      </x:c>
    </x:row>
    <x:row r="21" ht="51" customHeight="1">
      <x:c r="A21" s="6" t="str">
        <x:v>Blood</x:v>
      </x:c>
      <x:c r="B21" s="6" t="str">
        <x:v>Lingering Wounds</x:v>
      </x:c>
      <x:c r="C21" s="6" t="str">
        <x:v>LingeringWounds</x:v>
      </x:c>
      <x:c r="D21" s="13" t="n">
        <x:v>3</x:v>
      </x:c>
      <x:c r="E21" s="6" t="str">
        <x:v>Common (fixed)</x:v>
      </x:c>
      <x:c r="F21" s="6" t="str">
        <x:v>Level-up</x:v>
      </x:c>
      <x:c r="G21" s="6" t="str">
        <x:v>Bleed lasts 1 second longer and continues dealing damage.</x:v>
      </x:c>
      <x:c r="H21" s="6" t="str">
        <x:v>3 to 6 seconds at max rank. Tick damage stays unchanged, so full uninterrupted bleed budget doubles. Hits refresh all active stacks.</x:v>
      </x:c>
      <x:c r="I21" s="6" t="str">
        <x:v>BattleStance</x:v>
      </x:c>
      <x:c r="J21" s="6" t="str">
        <x:v>Active</x:v>
      </x:c>
      <x:c r="K21" s="6" t="str">
        <x:v>/Game/HeavensDivide/Upgrades/Samurai/DA_Upgrade_SamuraiLingeringWounds
Source/HeavensDivide/EnemyStatusEffectComponent.cpp:51</x:v>
      </x:c>
    </x:row>
    <x:row r="22" ht="51" customHeight="1">
      <x:c r="A22" s="6" t="str">
        <x:v>Blood</x:v>
      </x:c>
      <x:c r="B22" s="6" t="str">
        <x:v>Reinforcements</x:v>
      </x:c>
      <x:c r="C22" s="6" t="str">
        <x:v>BloodAssistChance</x:v>
      </x:c>
      <x:c r="D22" s="13" t="n">
        <x:v>5</x:v>
      </x:c>
      <x:c r="E22" s="6" t="str">
        <x:v>Rare (fixed)</x:v>
      </x:c>
      <x:c r="F22" s="6" t="str">
        <x:v>Level-up</x:v>
      </x:c>
      <x:c r="G22" s="6" t="str">
        <x:v>+5% chance to trigger Ninja Assist.</x:v>
      </x:c>
      <x:c r="H22" s="6" t="str">
        <x:v>Base 5% + 5 percentage points/rank = 30% at rank 5.</x:v>
      </x:c>
      <x:c r="I22" s="6" t="str">
        <x:v>BattleStance; BloodAssist</x:v>
      </x:c>
      <x:c r="J22" s="6" t="str">
        <x:v>Active</x:v>
      </x:c>
      <x:c r="K22" s="6" t="str">
        <x:v>/Game/HeavensDivide/Upgrades/Samurai/DA_Upgrade_SamuraiBloodAssistChance
Source/HeavensDivide/SamuraiAutoAttack.cpp:878</x:v>
      </x:c>
    </x:row>
    <x:row r="23" ht="51" customHeight="1">
      <x:c r="A23" s="6" t="str">
        <x:v>Blood</x:v>
      </x:c>
      <x:c r="B23" s="6" t="str">
        <x:v>Relentless Cuts</x:v>
      </x:c>
      <x:c r="C23" s="6" t="str">
        <x:v>DoubleCutFrequency</x:v>
      </x:c>
      <x:c r="D23" s="13" t="n">
        <x:v>3</x:v>
      </x:c>
      <x:c r="E23" s="6" t="str">
        <x:v>Rare (fixed)</x:v>
      </x:c>
      <x:c r="F23" s="6" t="str">
        <x:v>Level-up</x:v>
      </x:c>
      <x:c r="G23" s="6" t="str">
        <x:v>Double Cut requires 1 fewer attack, down to every attack.</x:v>
      </x:c>
      <x:c r="H23" s="6" t="str">
        <x:v>Base every fourth attack/launch; ranks 1/2/3 reduce cadence to every third/second/first. Effective cap min(card cap, global cadence cap=3).</x:v>
      </x:c>
      <x:c r="I23" s="6" t="str">
        <x:v>BattleStance; DoubleCut</x:v>
      </x:c>
      <x:c r="J23" s="6" t="str">
        <x:v>Active</x:v>
      </x:c>
      <x:c r="K23" s="6" t="str">
        <x:v>/Game/HeavensDivide/Upgrades/Samurai/DA_Upgrade_SamuraiDoubleCutFrequency
Source/HeavensDivide/SamuraiAutoAttack.cpp:871</x:v>
      </x:c>
    </x:row>
    <x:row r="24" ht="51" customHeight="1">
      <x:c r="A24" s="6" t="str">
        <x:v>Blood</x:v>
      </x:c>
      <x:c r="B24" s="6" t="str">
        <x:v>Blood Detonation</x:v>
      </x:c>
      <x:c r="C24" s="6" t="str">
        <x:v>BloodDetonation</x:v>
      </x:c>
      <x:c r="D24" s="13" t="n">
        <x:v>1</x:v>
      </x:c>
      <x:c r="E24" s="6" t="str">
        <x:v>Rare (fixed)</x:v>
      </x:c>
      <x:c r="F24" s="6" t="str">
        <x:v>Blood Shrine</x:v>
      </x:c>
      <x:c r="G24" s="6" t="str">
        <x:v>At full Bleed stacks, consume Bleed to explode for 1.5 times its remaining damage. Replaces Blood Transfer.</x:v>
      </x:c>
      <x:c r="H24" s="6" t="str">
        <x:v>Consumes at the current stack cap, then hits at the snapshotted position after the saved 2.7-second delay. Does not apply new Bleed. Disables Blood Transfer.</x:v>
      </x:c>
      <x:c r="I24" s="6" t="str">
        <x:v>BattleStance</x:v>
      </x:c>
      <x:c r="J24" s="6" t="str">
        <x:v>Active</x:v>
      </x:c>
      <x:c r="K24" s="6" t="str">
        <x:v>/Game/HeavensDivide/Upgrades/Samurai/DA_Upgrade_SamuraiBloodDetonation
Source/HeavensDivide/SamuraiBuildUpgrades.cpp:106</x:v>
      </x:c>
    </x:row>
    <x:row r="25" ht="64" customHeight="1">
      <x:c r="A25" s="6" t="str">
        <x:v>Blood</x:v>
      </x:c>
      <x:c r="B25" s="6" t="str">
        <x:v>Crimson Power</x:v>
      </x:c>
      <x:c r="C25" s="6" t="str">
        <x:v>BloodPactPower</x:v>
      </x:c>
      <x:c r="D25" s="13" t="n">
        <x:v>1</x:v>
      </x:c>
      <x:c r="E25" s="6" t="str">
        <x:v>Rare (fixed)</x:v>
      </x:c>
      <x:c r="F25" s="6" t="str">
        <x:v>Blood Shrine</x:v>
      </x:c>
      <x:c r="G25" s="6" t="str">
        <x:v>Bleed deals 2.5 times its normal damage, but you attack 30% slower.</x:v>
      </x:c>
      <x:c r="H25" s="6" t="str">
        <x:v>x2.5 bleed damage and x0.7 attack rate. Applies to detonation through the remaining-bleed calculation.</x:v>
      </x:c>
      <x:c r="I25" s="6" t="str">
        <x:v>BattleStance</x:v>
      </x:c>
      <x:c r="J25" s="6" t="str">
        <x:v>Active</x:v>
      </x:c>
      <x:c r="K25" s="6" t="str">
        <x:v>/Game/HeavensDivide/Upgrades/Samurai/DA_Upgrade_SamuraiBloodPactPower
Source/HeavensDivide/PlayerUpgradeStats.cpp:126
Source/HeavensDivide/EnemyStatusEffectComponent.cpp:112</x:v>
      </x:c>
    </x:row>
    <x:row r="26" ht="51" customHeight="1">
      <x:c r="A26" s="6" t="str">
        <x:v>Blood</x:v>
      </x:c>
      <x:c r="B26" s="6" t="str">
        <x:v>Frenzied Blood</x:v>
      </x:c>
      <x:c r="C26" s="6" t="str">
        <x:v>BloodPactSpeed</x:v>
      </x:c>
      <x:c r="D26" s="13" t="n">
        <x:v>1</x:v>
      </x:c>
      <x:c r="E26" s="6" t="str">
        <x:v>Rare (fixed)</x:v>
      </x:c>
      <x:c r="F26" s="6" t="str">
        <x:v>Blood Shrine</x:v>
      </x:c>
      <x:c r="G26" s="6" t="str">
        <x:v>Attack 40% faster, but deal 25% less attack damage.</x:v>
      </x:c>
      <x:c r="H26" s="6" t="str">
        <x:v>x1.4 attack rate and x0.75 direct damage; lower applying-hit damage also lowers newly applied bleed.</x:v>
      </x:c>
      <x:c r="I26" s="6" t="str">
        <x:v>BattleStance</x:v>
      </x:c>
      <x:c r="J26" s="6" t="str">
        <x:v>Active</x:v>
      </x:c>
      <x:c r="K26" s="6" t="str">
        <x:v>/Game/HeavensDivide/Upgrades/Samurai/DA_Upgrade_SamuraiBloodPactSpeed
Source/HeavensDivide/PlayerUpgradeStats.cpp:126</x:v>
      </x:c>
    </x:row>
    <x:row r="27" ht="77" customHeight="1">
      <x:c r="A27" s="6" t="str">
        <x:v>Iaijutsu</x:v>
      </x:c>
      <x:c r="B27" s="6" t="str">
        <x:v>Iaijutsu Stance</x:v>
      </x:c>
      <x:c r="C27" s="6" t="str">
        <x:v>Iaijutsu</x:v>
      </x:c>
      <x:c r="D27" s="13" t="n">
        <x:v>1</x:v>
      </x:c>
      <x:c r="E27" s="6" t="str">
        <x:v>Rare (fixed)</x:v>
      </x:c>
      <x:c r="F27" s="6" t="str">
        <x:v>Starting loadout</x:v>
      </x:c>
      <x:c r="G27" s="6" t="str">
        <x:v>Charge a slash for 2s dealing 250% attack damage. Hits mark enemies for 3s; later hits deal 50% more damage.</x:v>
      </x:c>
      <x:c r="H27" s="6" t="str">
        <x:v>Saved 2 s charge + 0.5 s recovery. Base 800 cm lane, 200 cm half-width, x2.5 direct damage. Generic run attack speed shortens recovery only.</x:v>
      </x:c>
      <x:c r="I27" s="6" t="str">
        <x:v>None
Exclusivity group: SamuraiStance</x:v>
      </x:c>
      <x:c r="J27" s="6" t="str">
        <x:v>Active</x:v>
      </x:c>
      <x:c r="K27" s="6" t="str">
        <x:v>/Game/HeavensDivide/Upgrades/Samurai/DA_Upgrade_SamuraiIaijutsuStance
Source/HeavensDivide/SamuraiAutoAttack.cpp:65
Source/HeavensDivide/SamuraiIaijutsu.cpp:66
Source/HeavensDivide/IaijutsuBuild.h:20</x:v>
      </x:c>
    </x:row>
    <x:row r="28" ht="51" customHeight="1">
      <x:c r="A28" s="6" t="str">
        <x:v>Iaijutsu</x:v>
      </x:c>
      <x:c r="B28" s="6" t="str">
        <x:v>Dash Draw</x:v>
      </x:c>
      <x:c r="C28" s="6" t="str">
        <x:v>IaijutsuDash</x:v>
      </x:c>
      <x:c r="D28" s="13" t="n">
        <x:v>1</x:v>
      </x:c>
      <x:c r="E28" s="6" t="str">
        <x:v>Common (fixed)</x:v>
      </x:c>
      <x:c r="F28" s="6" t="str">
        <x:v>Level-up</x:v>
      </x:c>
      <x:c r="G28" s="6" t="str">
        <x:v>Gain +100% dash distance. Dashing charges an Iaijutsu slash along the path travelled.</x:v>
      </x:c>
      <x:c r="H28" s="6" t="str">
        <x:v>Uses the actual collision-resolved dash path. +100% Samurai dash distance. Dash Draw can inherit instant and endpoint procs.</x:v>
      </x:c>
      <x:c r="I28" s="6" t="str">
        <x:v>Iaijutsu</x:v>
      </x:c>
      <x:c r="J28" s="6" t="str">
        <x:v>Active</x:v>
      </x:c>
      <x:c r="K28" s="6" t="str">
        <x:v>/Game/HeavensDivide/Upgrades/Samurai/DA_Upgrade_SamuraiIaijutsuDash
Source/HeavensDivide/SamuraiAutoAttack.cpp:150</x:v>
      </x:c>
    </x:row>
    <x:row r="29" ht="64" customHeight="1">
      <x:c r="A29" s="6" t="str">
        <x:v>Iaijutsu</x:v>
      </x:c>
      <x:c r="B29" s="6" t="str">
        <x:v>Death Cascade</x:v>
      </x:c>
      <x:c r="C29" s="6" t="str">
        <x:v>IaijutsuChain</x:v>
      </x:c>
      <x:c r="D29" s="13" t="n">
        <x:v>1</x:v>
      </x:c>
      <x:c r="E29" s="6" t="str">
        <x:v>Common (fixed)</x:v>
      </x:c>
      <x:c r="F29" s="6" t="str">
        <x:v>Level-up</x:v>
      </x:c>
      <x:c r="G29" s="6" t="str">
        <x:v>The first kill from a slash launches another slash toward the nearest foe. This follow-up cannot cascade.</x:v>
      </x:c>
      <x:c r="H29" s="6" t="str">
        <x:v>One extra slash from the first kill. Shared budget across X lanes prevents recursive cascade. Range 800 cm.</x:v>
      </x:c>
      <x:c r="I29" s="6" t="str">
        <x:v>Iaijutsu</x:v>
      </x:c>
      <x:c r="J29" s="6" t="str">
        <x:v>Active</x:v>
      </x:c>
      <x:c r="K29" s="6" t="str">
        <x:v>/Game/HeavensDivide/Upgrades/Samurai/DA_Upgrade_SamuraiIaijutsuChain
Source/HeavensDivide/SamuraiAutoAttack.cpp:169
Source/HeavensDivide/SamuraiIaijutsu.cpp:423</x:v>
      </x:c>
    </x:row>
    <x:row r="30" ht="51" customHeight="1">
      <x:c r="A30" s="6" t="str">
        <x:v>Iaijutsu</x:v>
      </x:c>
      <x:c r="B30" s="6" t="str">
        <x:v>Double Cut</x:v>
      </x:c>
      <x:c r="C30" s="6" t="str">
        <x:v>IaijutsuDoubleCut</x:v>
      </x:c>
      <x:c r="D30" s="13" t="n">
        <x:v>1</x:v>
      </x:c>
      <x:c r="E30" s="6" t="str">
        <x:v>Common (fixed)</x:v>
      </x:c>
      <x:c r="F30" s="6" t="str">
        <x:v>Level-up</x:v>
      </x:c>
      <x:c r="G30" s="6" t="str">
        <x:v>Every fourth Iaijutsu attack releases 2 full-damage slashes in an X.</x:v>
      </x:c>
      <x:c r="H30" s="6" t="str">
        <x:v>Two x1.25-length lanes angled +/-30 degrees, intersecting 60% of the normal distance ahead. Both can hit the same enemy. One shared cascade budget.</x:v>
      </x:c>
      <x:c r="I30" s="6" t="str">
        <x:v>Iaijutsu</x:v>
      </x:c>
      <x:c r="J30" s="6" t="str">
        <x:v>Active</x:v>
      </x:c>
      <x:c r="K30" s="6" t="str">
        <x:v>/Game/HeavensDivide/Upgrades/Samurai/DA_Upgrade_SamuraiIaijutsuDoubleCut
Source/HeavensDivide/SamuraiAutoAttack.cpp:181</x:v>
      </x:c>
    </x:row>
    <x:row r="31" ht="64" customHeight="1">
      <x:c r="A31" s="6" t="str">
        <x:v>Iaijutsu</x:v>
      </x:c>
      <x:c r="B31" s="6" t="str">
        <x:v>Final Flourish</x:v>
      </x:c>
      <x:c r="C31" s="6" t="str">
        <x:v>IaijutsuAOE</x:v>
      </x:c>
      <x:c r="D31" s="13" t="n">
        <x:v>1</x:v>
      </x:c>
      <x:c r="E31" s="6" t="str">
        <x:v>Common (fixed)</x:v>
      </x:c>
      <x:c r="F31" s="6" t="str">
        <x:v>Level-up</x:v>
      </x:c>
      <x:c r="G31" s="6" t="str">
        <x:v>15% chance to finish a slash with a circular strike: full attack damage in a 2.5m radius.</x:v>
      </x:c>
      <x:c r="H31" s="6" t="str">
        <x:v>Fixed 250 cm endpoint radius. Only the first X lane gets the endpoint burst; damage scales with its source slash.</x:v>
      </x:c>
      <x:c r="I31" s="6" t="str">
        <x:v>Iaijutsu</x:v>
      </x:c>
      <x:c r="J31" s="6" t="str">
        <x:v>Active</x:v>
      </x:c>
      <x:c r="K31" s="6" t="str">
        <x:v>/Game/HeavensDivide/Upgrades/Samurai/DA_Upgrade_SamuraiIaijutsuAOE
Source/HeavensDivide/SamuraiAutoAttack.cpp:187
Source/HeavensDivide/SamuraiIaijutsu.cpp:265</x:v>
      </x:c>
    </x:row>
    <x:row r="32" ht="77" customHeight="1">
      <x:c r="A32" s="6" t="str">
        <x:v>Iaijutsu</x:v>
      </x:c>
      <x:c r="B32" s="6" t="str">
        <x:v>Flash Draw</x:v>
      </x:c>
      <x:c r="C32" s="6" t="str">
        <x:v>IaijutsuInstant</x:v>
      </x:c>
      <x:c r="D32" s="13" t="n">
        <x:v>1</x:v>
      </x:c>
      <x:c r="E32" s="6" t="str">
        <x:v>Common (fixed)</x:v>
      </x:c>
      <x:c r="F32" s="6" t="str">
        <x:v>Level-up</x:v>
      </x:c>
      <x:c r="G32" s="6" t="str">
        <x:v>Iaijutsu attacks have a 15% chance to strike instantly, without charging.</x:v>
      </x:c>
      <x:c r="H32" s="6" t="str"/>
      <x:c r="I32" s="6" t="str">
        <x:v>Iaijutsu</x:v>
      </x:c>
      <x:c r="J32" s="6" t="str">
        <x:v>Active</x:v>
      </x:c>
      <x:c r="K32" s="6" t="str">
        <x:v>/Game/HeavensDivide/Upgrades/Samurai/DA_Upgrade_SamuraiIaijutsuInstant
Source/HeavensDivide/SamuraiAutoAttack.cpp:104
Source/HeavensDivide/SamuraiIaijutsu.cpp:451
Source/HeavensDivide/AutoAttackComponent.cpp:780</x:v>
      </x:c>
    </x:row>
    <x:row r="33" ht="51" customHeight="1">
      <x:c r="A33" s="6" t="str">
        <x:v>Iaijutsu</x:v>
      </x:c>
      <x:c r="B33" s="6" t="str">
        <x:v>Ninja Assist</x:v>
      </x:c>
      <x:c r="C33" s="6" t="str">
        <x:v>IaijutsuAssist</x:v>
      </x:c>
      <x:c r="D33" s="13" t="n">
        <x:v>1</x:v>
      </x:c>
      <x:c r="E33" s="6" t="str">
        <x:v>Common (fixed)</x:v>
      </x:c>
      <x:c r="F33" s="6" t="str">
        <x:v>Level-up</x:v>
      </x:c>
      <x:c r="G33" s="6" t="str">
        <x:v>While fighting, roll a 5% chance each second to call a Ninja assist.</x:v>
      </x:c>
      <x:c r="H33" s="6" t="str">
        <x:v>One roll per combat second, not per enemy hit. Requires a valid target and available assistant.</x:v>
      </x:c>
      <x:c r="I33" s="6" t="str">
        <x:v>Iaijutsu</x:v>
      </x:c>
      <x:c r="J33" s="6" t="str">
        <x:v>Active</x:v>
      </x:c>
      <x:c r="K33" s="6" t="str">
        <x:v>/Game/HeavensDivide/Upgrades/Samurai/DA_Upgrade_SamuraiIaijutsuAssist
Source/HeavensDivide/SamuraiAutoAttack.cpp:143</x:v>
      </x:c>
    </x:row>
    <x:row r="34" ht="51" customHeight="1">
      <x:c r="A34" s="6" t="str">
        <x:v>Iaijutsu</x:v>
      </x:c>
      <x:c r="B34" s="6" t="str">
        <x:v>Charge Speed</x:v>
      </x:c>
      <x:c r="C34" s="6" t="str">
        <x:v>IaijutsuChargeSpeed</x:v>
      </x:c>
      <x:c r="D34" s="13" t="n">
        <x:v>5</x:v>
      </x:c>
      <x:c r="E34" s="6" t="str">
        <x:v>Common (fixed)</x:v>
      </x:c>
      <x:c r="F34" s="6" t="str">
        <x:v>Level-up</x:v>
      </x:c>
      <x:c r="G34" s="6" t="str">
        <x:v>Iaijutsu slashes charge 15% faster.</x:v>
      </x:c>
      <x:c r="H34" s="6" t="str">
        <x:v>Divides charge duration by 1 + rank bonus + permanent charge bonus. Rank 5 alone gives 2/1.75 = 1.143 s, before recovery.</x:v>
      </x:c>
      <x:c r="I34" s="6" t="str">
        <x:v>Iaijutsu</x:v>
      </x:c>
      <x:c r="J34" s="6" t="str">
        <x:v>Active</x:v>
      </x:c>
      <x:c r="K34" s="6" t="str">
        <x:v>/Game/HeavensDivide/Upgrades/Samurai/DA_Upgrade_SamuraiIaijutsuChargeSpeed
Source/HeavensDivide/IaijutsuBuild.h:21</x:v>
      </x:c>
    </x:row>
    <x:row r="35" ht="51" customHeight="1">
      <x:c r="A35" s="6" t="str">
        <x:v>Iaijutsu</x:v>
      </x:c>
      <x:c r="B35" s="6" t="str">
        <x:v>Deadly Cascade</x:v>
      </x:c>
      <x:c r="C35" s="6" t="str">
        <x:v>IaijutsuCascadePower</x:v>
      </x:c>
      <x:c r="D35" s="13" t="n">
        <x:v>5</x:v>
      </x:c>
      <x:c r="E35" s="6" t="str">
        <x:v>Rare (fixed)</x:v>
      </x:c>
      <x:c r="F35" s="6" t="str">
        <x:v>Level-up</x:v>
      </x:c>
      <x:c r="G35" s="6" t="str">
        <x:v>Death Cascade slashes and their Final Flourish deal 20% more damage.</x:v>
      </x:c>
      <x:c r="H35" s="6" t="str"/>
      <x:c r="I35" s="6" t="str">
        <x:v>Iaijutsu; IaijutsuChain</x:v>
      </x:c>
      <x:c r="J35" s="6" t="str">
        <x:v>Active</x:v>
      </x:c>
      <x:c r="K35" s="6" t="str">
        <x:v>/Game/HeavensDivide/Upgrades/Samurai/DA_Upgrade_SamuraiIaijutsuCascadePower
Source/HeavensDivide/SamuraiIaijutsu.cpp:455</x:v>
      </x:c>
    </x:row>
    <x:row r="36" ht="51" customHeight="1">
      <x:c r="A36" s="6" t="str">
        <x:v>Iaijutsu</x:v>
      </x:c>
      <x:c r="B36" s="6" t="str">
        <x:v>Driving Draw</x:v>
      </x:c>
      <x:c r="C36" s="6" t="str">
        <x:v>IaijutsuDashPower</x:v>
      </x:c>
      <x:c r="D36" s="13" t="n">
        <x:v>5</x:v>
      </x:c>
      <x:c r="E36" s="6" t="str">
        <x:v>Rare (fixed)</x:v>
      </x:c>
      <x:c r="F36" s="6" t="str">
        <x:v>Level-up</x:v>
      </x:c>
      <x:c r="G36" s="6" t="str">
        <x:v>Dash Draw slashes and their Final Flourish deal 20% more damage.</x:v>
      </x:c>
      <x:c r="H36" s="6" t="str"/>
      <x:c r="I36" s="6" t="str">
        <x:v>Iaijutsu; IaijutsuDash</x:v>
      </x:c>
      <x:c r="J36" s="6" t="str">
        <x:v>Active</x:v>
      </x:c>
      <x:c r="K36" s="6" t="str">
        <x:v>/Game/HeavensDivide/Upgrades/Samurai/DA_Upgrade_SamuraiIaijutsuDashPower
Source/HeavensDivide/SamuraiAutoAttack.cpp:156</x:v>
      </x:c>
    </x:row>
    <x:row r="37" ht="51" customHeight="1">
      <x:c r="A37" s="6" t="str">
        <x:v>Iaijutsu</x:v>
      </x:c>
      <x:c r="B37" s="6" t="str">
        <x:v>Exposed Weakness</x:v>
      </x:c>
      <x:c r="C37" s="6" t="str">
        <x:v>IaijutsuMarkDamage</x:v>
      </x:c>
      <x:c r="D37" s="13" t="n">
        <x:v>5</x:v>
      </x:c>
      <x:c r="E37" s="6" t="str">
        <x:v>Common (fixed)</x:v>
      </x:c>
      <x:c r="F37" s="6" t="str">
        <x:v>Level-up</x:v>
      </x:c>
      <x:c r="G37" s="6" t="str">
        <x:v>Enemies marked by Iaijutsu take an additional 10% damage.</x:v>
      </x:c>
      <x:c r="H37" s="6" t="str">
        <x:v>Adds to the 50% mark bonus, reaching +100%. Focused Malice doubles the bonus. Relentless Steps converts purchased ranks to damage.</x:v>
      </x:c>
      <x:c r="I37" s="6" t="str">
        <x:v>Iaijutsu</x:v>
      </x:c>
      <x:c r="J37" s="6" t="str">
        <x:v>Active</x:v>
      </x:c>
      <x:c r="K37" s="6" t="str">
        <x:v>/Game/HeavensDivide/Upgrades/Samurai/DA_Upgrade_SamuraiIaijutsuMarkDamage
Source/HeavensDivide/SamuraiIaijutsu.cpp:400</x:v>
      </x:c>
    </x:row>
    <x:row r="38" ht="77" customHeight="1">
      <x:c r="A38" s="6" t="str">
        <x:v>Iaijutsu</x:v>
      </x:c>
      <x:c r="B38" s="6" t="str">
        <x:v>Flash Mastery</x:v>
      </x:c>
      <x:c r="C38" s="6" t="str">
        <x:v>IaijutsuInstantChance</x:v>
      </x:c>
      <x:c r="D38" s="13" t="n">
        <x:v>5</x:v>
      </x:c>
      <x:c r="E38" s="6" t="str">
        <x:v>Rare (fixed)</x:v>
      </x:c>
      <x:c r="F38" s="6" t="str">
        <x:v>Level-up</x:v>
      </x:c>
      <x:c r="G38" s="6" t="str">
        <x:v>+5% chance to trigger Flash Draw.</x:v>
      </x:c>
      <x:c r="H38" s="6" t="str">
        <x:v>Saved base 15% + 5 percentage points per rank = 40% at rank 5.</x:v>
      </x:c>
      <x:c r="I38" s="6" t="str">
        <x:v>Iaijutsu; IaijutsuInstant</x:v>
      </x:c>
      <x:c r="J38" s="6" t="str">
        <x:v>Active</x:v>
      </x:c>
      <x:c r="K38" s="6" t="str">
        <x:v>/Game/HeavensDivide/Upgrades/Samurai/DA_Upgrade_SamuraiIaijutsuInstantChance
Source/HeavensDivide/SamuraiAutoAttack.cpp:104
Source/HeavensDivide/SamuraiIaijutsu.cpp:451
Source/HeavensDivide/AutoAttackComponent.cpp:780</x:v>
      </x:c>
    </x:row>
    <x:row r="39" ht="51" customHeight="1">
      <x:c r="A39" s="6" t="str">
        <x:v>Iaijutsu</x:v>
      </x:c>
      <x:c r="B39" s="6" t="str">
        <x:v>Flourish Mastery</x:v>
      </x:c>
      <x:c r="C39" s="6" t="str">
        <x:v>IaijutsuAOEChance</x:v>
      </x:c>
      <x:c r="D39" s="13" t="n">
        <x:v>5</x:v>
      </x:c>
      <x:c r="E39" s="6" t="str">
        <x:v>Rare (fixed)</x:v>
      </x:c>
      <x:c r="F39" s="6" t="str">
        <x:v>Level-up</x:v>
      </x:c>
      <x:c r="G39" s="6" t="str">
        <x:v>+10% chance to trigger Final Flourish.</x:v>
      </x:c>
      <x:c r="H39" s="6" t="str">
        <x:v>15% base + 10 percentage points per rank = 65% at rank 5.</x:v>
      </x:c>
      <x:c r="I39" s="6" t="str">
        <x:v>Iaijutsu; IaijutsuAOE</x:v>
      </x:c>
      <x:c r="J39" s="6" t="str">
        <x:v>Active</x:v>
      </x:c>
      <x:c r="K39" s="6" t="str">
        <x:v>/Game/HeavensDivide/Upgrades/Samurai/DA_Upgrade_SamuraiIaijutsuAOEChance
Source/HeavensDivide/SamuraiAutoAttack.cpp:187</x:v>
      </x:c>
    </x:row>
    <x:row r="40" ht="51" customHeight="1">
      <x:c r="A40" s="6" t="str">
        <x:v>Iaijutsu</x:v>
      </x:c>
      <x:c r="B40" s="6" t="str">
        <x:v>Gathering Wind</x:v>
      </x:c>
      <x:c r="C40" s="6" t="str">
        <x:v>IaijutsuVacuumReach</x:v>
      </x:c>
      <x:c r="D40" s="13" t="n">
        <x:v>5</x:v>
      </x:c>
      <x:c r="E40" s="6" t="str">
        <x:v>Common (fixed)</x:v>
      </x:c>
      <x:c r="F40" s="6" t="str">
        <x:v>Level-up</x:v>
      </x:c>
      <x:c r="G40" s="6" t="str">
        <x:v>Draw enemies into your Iaijutsu slash from 15% farther away.</x:v>
      </x:c>
      <x:c r="H40" s="6" t="str">
        <x:v>Only extra reach outside the lane: 60 to 105 cm. Pull occurs during the final 0.2 s of charge and 0.3 s after impact, at 720 cm/s.</x:v>
      </x:c>
      <x:c r="I40" s="6" t="str">
        <x:v>Iaijutsu</x:v>
      </x:c>
      <x:c r="J40" s="6" t="str">
        <x:v>Active</x:v>
      </x:c>
      <x:c r="K40" s="6" t="str">
        <x:v>/Game/HeavensDivide/Upgrades/Samurai/DA_Upgrade_SamuraiIaijutsuVacuumReach
Source/HeavensDivide/IaijutsuBuild.h:28</x:v>
      </x:c>
    </x:row>
    <x:row r="41" ht="51" customHeight="1">
      <x:c r="A41" s="6" t="str">
        <x:v>Iaijutsu</x:v>
      </x:c>
      <x:c r="B41" s="6" t="str">
        <x:v>Iaijutsu Damage</x:v>
      </x:c>
      <x:c r="C41" s="6" t="str">
        <x:v>IaijutsuDamage</x:v>
      </x:c>
      <x:c r="D41" s="13" t="n">
        <x:v>5</x:v>
      </x:c>
      <x:c r="E41" s="6" t="str">
        <x:v>Common (fixed)</x:v>
      </x:c>
      <x:c r="F41" s="6" t="str">
        <x:v>Level-up</x:v>
      </x:c>
      <x:c r="G41" s="6" t="str">
        <x:v>Iaijutsu attacks deal 20% more damage.</x:v>
      </x:c>
      <x:c r="H41" s="6" t="str"/>
      <x:c r="I41" s="6" t="str">
        <x:v>Iaijutsu</x:v>
      </x:c>
      <x:c r="J41" s="6" t="str">
        <x:v>Active</x:v>
      </x:c>
      <x:c r="K41" s="6" t="str">
        <x:v>/Game/HeavensDivide/Upgrades/Samurai/DA_Upgrade_SamuraiIaijutsuDamage
Source/HeavensDivide/SamuraiAutoAttack.cpp:172</x:v>
      </x:c>
    </x:row>
    <x:row r="42" ht="51" customHeight="1">
      <x:c r="A42" s="6" t="str">
        <x:v>Iaijutsu</x:v>
      </x:c>
      <x:c r="B42" s="6" t="str">
        <x:v>Reinforcements</x:v>
      </x:c>
      <x:c r="C42" s="6" t="str">
        <x:v>IaijutsuAssistChance</x:v>
      </x:c>
      <x:c r="D42" s="13" t="n">
        <x:v>5</x:v>
      </x:c>
      <x:c r="E42" s="6" t="str">
        <x:v>Rare (fixed)</x:v>
      </x:c>
      <x:c r="F42" s="6" t="str">
        <x:v>Level-up</x:v>
      </x:c>
      <x:c r="G42" s="6" t="str">
        <x:v>+5% chance to trigger Ninja Assist.</x:v>
      </x:c>
      <x:c r="H42" s="6" t="str">
        <x:v>Base 5% + 5 percentage points/rank = 30% at rank 5.</x:v>
      </x:c>
      <x:c r="I42" s="6" t="str">
        <x:v>Iaijutsu; IaijutsuAssist</x:v>
      </x:c>
      <x:c r="J42" s="6" t="str">
        <x:v>Active</x:v>
      </x:c>
      <x:c r="K42" s="6" t="str">
        <x:v>/Game/HeavensDivide/Upgrades/Samurai/DA_Upgrade_SamuraiIaijutsuAssistChance
Source/HeavensDivide/SamuraiAutoAttack.cpp:143</x:v>
      </x:c>
    </x:row>
    <x:row r="43" ht="51" customHeight="1">
      <x:c r="A43" s="6" t="str">
        <x:v>Iaijutsu</x:v>
      </x:c>
      <x:c r="B43" s="6" t="str">
        <x:v>Relentless Cuts</x:v>
      </x:c>
      <x:c r="C43" s="6" t="str">
        <x:v>IaijutsuDoubleCutFrequency</x:v>
      </x:c>
      <x:c r="D43" s="13" t="n">
        <x:v>3</x:v>
      </x:c>
      <x:c r="E43" s="6" t="str">
        <x:v>Rare (fixed)</x:v>
      </x:c>
      <x:c r="F43" s="6" t="str">
        <x:v>Level-up</x:v>
      </x:c>
      <x:c r="G43" s="6" t="str">
        <x:v>Double Cut requires 1 fewer attack, down to every attack.</x:v>
      </x:c>
      <x:c r="H43" s="6" t="str">
        <x:v>Base every fourth attack/launch; ranks 1/2/3 reduce cadence to every third/second/first. Effective cap min(card cap, global cadence cap=3).</x:v>
      </x:c>
      <x:c r="I43" s="6" t="str">
        <x:v>Iaijutsu; IaijutsuDoubleCut</x:v>
      </x:c>
      <x:c r="J43" s="6" t="str">
        <x:v>Active</x:v>
      </x:c>
      <x:c r="K43" s="6" t="str">
        <x:v>/Game/HeavensDivide/Upgrades/Samurai/DA_Upgrade_SamuraiIaijutsuDoubleCutFrequency
Source/HeavensDivide/SamuraiAutoAttack.cpp:183</x:v>
      </x:c>
    </x:row>
    <x:row r="44" ht="51" customHeight="1">
      <x:c r="A44" s="6" t="str">
        <x:v>Iaijutsu</x:v>
      </x:c>
      <x:c r="B44" s="6" t="str">
        <x:v>Slash Width</x:v>
      </x:c>
      <x:c r="C44" s="6" t="str">
        <x:v>IaijutsuWidth</x:v>
      </x:c>
      <x:c r="D44" s="13" t="n">
        <x:v>5</x:v>
      </x:c>
      <x:c r="E44" s="6" t="str">
        <x:v>Common (fixed)</x:v>
      </x:c>
      <x:c r="F44" s="6" t="str">
        <x:v>Level-up</x:v>
      </x:c>
      <x:c r="G44" s="6" t="str">
        <x:v>Iaijutsu slashes are 25% wider.</x:v>
      </x:c>
      <x:c r="H44" s="6" t="str">
        <x:v>Scales lane half-width from 200 to 450 cm at rank 5. Does not enlarge Final Flourish radius.</x:v>
      </x:c>
      <x:c r="I44" s="6" t="str">
        <x:v>Iaijutsu</x:v>
      </x:c>
      <x:c r="J44" s="6" t="str">
        <x:v>Active</x:v>
      </x:c>
      <x:c r="K44" s="6" t="str">
        <x:v>/Game/HeavensDivide/Upgrades/Samurai/DA_Upgrade_SamuraiIaijutsuWidth
Source/HeavensDivide/SamuraiAutoAttack.cpp:175</x:v>
      </x:c>
    </x:row>
    <x:row r="45" ht="64" customHeight="1">
      <x:c r="A45" s="6" t="str">
        <x:v>Iaijutsu</x:v>
      </x:c>
      <x:c r="B45" s="6" t="str">
        <x:v>Focused Malice</x:v>
      </x:c>
      <x:c r="C45" s="6" t="str">
        <x:v>IaijutsuMarkPact</x:v>
      </x:c>
      <x:c r="D45" s="13" t="n">
        <x:v>1</x:v>
      </x:c>
      <x:c r="E45" s="6" t="str">
        <x:v>Rare (fixed)</x:v>
      </x:c>
      <x:c r="F45" s="6" t="str">
        <x:v>Blood Shrine</x:v>
      </x:c>
      <x:c r="G45" s="6" t="str">
        <x:v>Marks grant 2x their damage bonus. Slash width becomes 80% of normal.</x:v>
      </x:c>
      <x:c r="H45" s="6" t="str">
        <x:v>Mark bonus doubled, lane width x0.8. Mutually exclusive with Relentless Steps.</x:v>
      </x:c>
      <x:c r="I45" s="6" t="str">
        <x:v>Iaijutsu</x:v>
      </x:c>
      <x:c r="J45" s="6" t="str">
        <x:v>Active</x:v>
      </x:c>
      <x:c r="K45" s="6" t="str">
        <x:v>/Game/HeavensDivide/Upgrades/Samurai/DA_Upgrade_SamuraiIaijutsuMarkPact
Source/HeavensDivide/SamuraiAutoAttack.cpp:177
Source/HeavensDivide/SamuraiIaijutsu.cpp:401</x:v>
      </x:c>
    </x:row>
    <x:row r="46" ht="64" customHeight="1">
      <x:c r="A46" s="6" t="str">
        <x:v>Iaijutsu</x:v>
      </x:c>
      <x:c r="B46" s="6" t="str">
        <x:v>Patient Blade</x:v>
      </x:c>
      <x:c r="C46" s="6" t="str">
        <x:v>IaijutsuPowerPact</x:v>
      </x:c>
      <x:c r="D46" s="13" t="n">
        <x:v>1</x:v>
      </x:c>
      <x:c r="E46" s="6" t="str">
        <x:v>Rare (fixed)</x:v>
      </x:c>
      <x:c r="F46" s="6" t="str">
        <x:v>Blood Shrine</x:v>
      </x:c>
      <x:c r="G46" s="6" t="str">
        <x:v>Deal 1.5x Iaijutsu damage. Charge time becomes 1.3x as long.</x:v>
      </x:c>
      <x:c r="H46" s="6" t="str">
        <x:v>Direct damage x1.5 and charge duration x1.3; recovery is not multiplied.</x:v>
      </x:c>
      <x:c r="I46" s="6" t="str">
        <x:v>Iaijutsu</x:v>
      </x:c>
      <x:c r="J46" s="6" t="str">
        <x:v>Active</x:v>
      </x:c>
      <x:c r="K46" s="6" t="str">
        <x:v>/Game/HeavensDivide/Upgrades/Samurai/DA_Upgrade_SamuraiIaijutsuPowerPact
Source/HeavensDivide/SamuraiAutoAttack.cpp:176
Source/HeavensDivide/IaijutsuBuild.h:22</x:v>
      </x:c>
    </x:row>
    <x:row r="47" ht="51" customHeight="1">
      <x:c r="A47" s="6" t="str">
        <x:v>Iaijutsu</x:v>
      </x:c>
      <x:c r="B47" s="6" t="str">
        <x:v>Relentless Steps</x:v>
      </x:c>
      <x:c r="C47" s="6" t="str">
        <x:v>IaijutsuDashPact</x:v>
      </x:c>
      <x:c r="D47" s="13" t="n">
        <x:v>1</x:v>
      </x:c>
      <x:c r="E47" s="6" t="str">
        <x:v>Rare (fixed)</x:v>
      </x:c>
      <x:c r="F47" s="6" t="str">
        <x:v>Blood Shrine</x:v>
      </x:c>
      <x:c r="G47" s="6" t="str">
        <x:v>Marked kills restore 0.3s of dash recharge. Marks no longer amplify damage; Exposed Weakness becomes Iaijutsu Damage.</x:v>
      </x:c>
      <x:c r="H47" s="6" t="str">
        <x:v>Removes mark amplification and converts Exposed Weakness ranks into damage. Cannot coexist with Focused Malice. A marked kill refunds 0.3 s recharge.</x:v>
      </x:c>
      <x:c r="I47" s="6" t="str">
        <x:v>Iaijutsu</x:v>
      </x:c>
      <x:c r="J47" s="6" t="str">
        <x:v>Active</x:v>
      </x:c>
      <x:c r="K47" s="6" t="str">
        <x:v>/Game/HeavensDivide/Upgrades/Samurai/DA_Upgrade_SamuraiIaijutsuDashPact
Source/HeavensDivide/SamuraiIaijutsu.cpp:405</x:v>
      </x:c>
    </x:row>
    <x:row r="48" ht="77" customHeight="1">
      <x:c r="A48" s="6" t="str">
        <x:v>Crescent</x:v>
      </x:c>
      <x:c r="B48" s="6" t="str">
        <x:v>Crescent Stance</x:v>
      </x:c>
      <x:c r="C48" s="6" t="str">
        <x:v>BladeWave</x:v>
      </x:c>
      <x:c r="D48" s="13" t="n">
        <x:v>1</x:v>
      </x:c>
      <x:c r="E48" s="6" t="str">
        <x:v>Rare (fixed)</x:v>
      </x:c>
      <x:c r="F48" s="6" t="str">
        <x:v>Starting loadout</x:v>
      </x:c>
      <x:c r="G48" s="6" t="str">
        <x:v>Replace melee attacks with piercing waves dealing 150% attack damage. Slow enemies by 30% for 5s.</x:v>
      </x:c>
      <x:c r="H48" s="6" t="str">
        <x:v>Saved WaveDamageMultiplier=1.5 overrides the older 0.4 component fallback. Base width 300 cm, range 650 cm, speed 1400 cm/s.</x:v>
      </x:c>
      <x:c r="I48" s="6" t="str">
        <x:v>None
Exclusivity group: SamuraiStance</x:v>
      </x:c>
      <x:c r="J48" s="6" t="str">
        <x:v>Active</x:v>
      </x:c>
      <x:c r="K48" s="6" t="str">
        <x:v>/Game/HeavensDivide/Upgrades/Samurai/DA_Upgrade_SamuraiCrescentStance
Source/HeavensDivide/SamuraiAutoAttack.cpp:275
Source/HeavensDivide/SamuraiBladeWave.cpp:64
Source/HeavensDivide/CrescentBuild.cpp:15</x:v>
      </x:c>
    </x:row>
    <x:row r="49" ht="51" customHeight="1">
      <x:c r="A49" s="6" t="str">
        <x:v>Crescent</x:v>
      </x:c>
      <x:c r="B49" s="6" t="str">
        <x:v>Arc Volley</x:v>
      </x:c>
      <x:c r="C49" s="6" t="str">
        <x:v>CrescentArc</x:v>
      </x:c>
      <x:c r="D49" s="13" t="n">
        <x:v>1</x:v>
      </x:c>
      <x:c r="E49" s="6" t="str">
        <x:v>Common (fixed)</x:v>
      </x:c>
      <x:c r="F49" s="6" t="str">
        <x:v>Level-up</x:v>
      </x:c>
      <x:c r="G49" s="6" t="str">
        <x:v>Attacks have a 15% chance to fire a fan of 3 waves. With Double Cut, the fan fires in all four directions.</x:v>
      </x:c>
      <x:c r="H49" s="6" t="str"/>
      <x:c r="I49" s="6" t="str">
        <x:v>BladeWave</x:v>
      </x:c>
      <x:c r="J49" s="6" t="str">
        <x:v>Active</x:v>
      </x:c>
      <x:c r="K49" s="6" t="str">
        <x:v>/Game/HeavensDivide/Upgrades/Samurai/DA_Upgrade_SamuraiCrescentArc
Source/HeavensDivide/SamuraiAutoAttack.cpp:555</x:v>
      </x:c>
    </x:row>
    <x:row r="50" ht="51" customHeight="1">
      <x:c r="A50" s="6" t="str">
        <x:v>Crescent</x:v>
      </x:c>
      <x:c r="B50" s="6" t="str">
        <x:v>Double Cut</x:v>
      </x:c>
      <x:c r="C50" s="6" t="str">
        <x:v>CrescentDoubleCut</x:v>
      </x:c>
      <x:c r="D50" s="13" t="n">
        <x:v>1</x:v>
      </x:c>
      <x:c r="E50" s="6" t="str">
        <x:v>Common (fixed)</x:v>
      </x:c>
      <x:c r="F50" s="6" t="str">
        <x:v>Level-up</x:v>
      </x:c>
      <x:c r="G50" s="6" t="str">
        <x:v>Every fourth attack sends 4 full-damage waves in a cross, each carrying your wave upgrades.</x:v>
      </x:c>
      <x:c r="H50" s="6" t="str">
        <x:v>Four full-strength primaries on each proc. Combines with Arc Volley for 12 primaries.</x:v>
      </x:c>
      <x:c r="I50" s="6" t="str">
        <x:v>BladeWave</x:v>
      </x:c>
      <x:c r="J50" s="6" t="str">
        <x:v>Active</x:v>
      </x:c>
      <x:c r="K50" s="6" t="str">
        <x:v>/Game/HeavensDivide/Upgrades/Samurai/DA_Upgrade_SamuraiCrescentDoubleCut
Source/HeavensDivide/SamuraiAutoAttack.cpp:547</x:v>
      </x:c>
    </x:row>
    <x:row r="51" ht="64" customHeight="1">
      <x:c r="A51" s="6" t="str">
        <x:v>Crescent</x:v>
      </x:c>
      <x:c r="B51" s="6" t="str">
        <x:v>Lingering Wake</x:v>
      </x:c>
      <x:c r="C51" s="6" t="str">
        <x:v>CrescentField</x:v>
      </x:c>
      <x:c r="D51" s="13" t="n">
        <x:v>1</x:v>
      </x:c>
      <x:c r="E51" s="6" t="str">
        <x:v>Common (fixed)</x:v>
      </x:c>
      <x:c r="F51" s="6" t="str">
        <x:v>Level-up</x:v>
      </x:c>
      <x:c r="G51" s="6" t="str">
        <x:v>15% chance to leave a trail along the wave path: 30% wave damage per second for 3s. Split waves share the effect.</x:v>
      </x:c>
      <x:c r="H51" s="6" t="str">
        <x:v>Rolls per primary. Field spans the outbound path after travel, with matching wave width. Split children inherit the rolled field effect.</x:v>
      </x:c>
      <x:c r="I51" s="6" t="str">
        <x:v>BladeWave</x:v>
      </x:c>
      <x:c r="J51" s="6" t="str">
        <x:v>Active</x:v>
      </x:c>
      <x:c r="K51" s="6" t="str">
        <x:v>/Game/HeavensDivide/Upgrades/Samurai/DA_Upgrade_SamuraiCrescentField
Source/HeavensDivide/SamuraiBladeWave.cpp:64
Source/HeavensDivide/SamuraiWaveField.cpp:23</x:v>
      </x:c>
    </x:row>
    <x:row r="52" ht="51" customHeight="1">
      <x:c r="A52" s="6" t="str">
        <x:v>Crescent</x:v>
      </x:c>
      <x:c r="B52" s="6" t="str">
        <x:v>Ninja Assist</x:v>
      </x:c>
      <x:c r="C52" s="6" t="str">
        <x:v>CrescentAssist</x:v>
      </x:c>
      <x:c r="D52" s="13" t="n">
        <x:v>1</x:v>
      </x:c>
      <x:c r="E52" s="6" t="str">
        <x:v>Common (fixed)</x:v>
      </x:c>
      <x:c r="F52" s="6" t="str">
        <x:v>Level-up</x:v>
      </x:c>
      <x:c r="G52" s="6" t="str">
        <x:v>Kills in Crescent Stance have a 5% chance to call Ninja for an assist attack.</x:v>
      </x:c>
      <x:c r="H52" s="6" t="str">
        <x:v>Kill-based, unlike Blood attack-based assists. Requires Samurai active and the assistant available.</x:v>
      </x:c>
      <x:c r="I52" s="6" t="str">
        <x:v>BladeWave</x:v>
      </x:c>
      <x:c r="J52" s="6" t="str">
        <x:v>Active</x:v>
      </x:c>
      <x:c r="K52" s="6" t="str">
        <x:v>/Game/HeavensDivide/Upgrades/Samurai/DA_Upgrade_SamuraiCrescentAssist
Source/HeavensDivide/CrescentBuild.cpp:17</x:v>
      </x:c>
    </x:row>
    <x:row r="53" ht="64" customHeight="1">
      <x:c r="A53" s="6" t="str">
        <x:v>Crescent</x:v>
      </x:c>
      <x:c r="B53" s="6" t="str">
        <x:v>Returning Blade</x:v>
      </x:c>
      <x:c r="C53" s="6" t="str">
        <x:v>ReturningBlade</x:v>
      </x:c>
      <x:c r="D53" s="13" t="n">
        <x:v>1</x:v>
      </x:c>
      <x:c r="E53" s="6" t="str">
        <x:v>Common (fixed)</x:v>
      </x:c>
      <x:c r="F53" s="6" t="str">
        <x:v>Level-up</x:v>
      </x:c>
      <x:c r="G53" s="6" t="str">
        <x:v>Waves return to their starting point, striking enemies again for 50% damage. Split waves do not return.</x:v>
      </x:c>
      <x:c r="H53" s="6" t="str">
        <x:v>Primary returns to its launch position at 50% direct damage. Hit tracking resets for the return pass; side children do not return.</x:v>
      </x:c>
      <x:c r="I53" s="6" t="str">
        <x:v>BladeWave</x:v>
      </x:c>
      <x:c r="J53" s="6" t="str">
        <x:v>Active</x:v>
      </x:c>
      <x:c r="K53" s="6" t="str">
        <x:v>/Game/HeavensDivide/Upgrades/Samurai/DA_Upgrade_SamuraiReturningBlade
Source/HeavensDivide/SamuraiAutoAttack.cpp:545
Source/HeavensDivide/SamuraiBladeWave.cpp:57</x:v>
      </x:c>
    </x:row>
    <x:row r="54" ht="51" customHeight="1">
      <x:c r="A54" s="6" t="str">
        <x:v>Crescent</x:v>
      </x:c>
      <x:c r="B54" s="6" t="str">
        <x:v>Splitting Waves</x:v>
      </x:c>
      <x:c r="C54" s="6" t="str">
        <x:v>CrescentSplit</x:v>
      </x:c>
      <x:c r="D54" s="13" t="n">
        <x:v>1</x:v>
      </x:c>
      <x:c r="E54" s="6" t="str">
        <x:v>Common (fixed)</x:v>
      </x:c>
      <x:c r="F54" s="6" t="str">
        <x:v>Level-up</x:v>
      </x:c>
      <x:c r="G54" s="6" t="str">
        <x:v>First hit: 15% chance to send 2 smaller waves sideways at 50% damage. The main wave continues; side waves cannot split.</x:v>
      </x:c>
      <x:c r="H54" s="6" t="str">
        <x:v>Rolls once at first impact. Two sideways children deal half damage with 60% width/range. Children neither split nor return.</x:v>
      </x:c>
      <x:c r="I54" s="6" t="str">
        <x:v>BladeWave</x:v>
      </x:c>
      <x:c r="J54" s="6" t="str">
        <x:v>Active</x:v>
      </x:c>
      <x:c r="K54" s="6" t="str">
        <x:v>/Game/HeavensDivide/Upgrades/Samurai/DA_Upgrade_SamuraiCrescentSplit
Source/HeavensDivide/SamuraiBladeWave.cpp:262</x:v>
      </x:c>
    </x:row>
    <x:row r="55" ht="51" customHeight="1">
      <x:c r="A55" s="6" t="str">
        <x:v>Crescent</x:v>
      </x:c>
      <x:c r="B55" s="6" t="str">
        <x:v>Arc Mastery</x:v>
      </x:c>
      <x:c r="C55" s="6" t="str">
        <x:v>CrescentArcChance</x:v>
      </x:c>
      <x:c r="D55" s="13" t="n">
        <x:v>5</x:v>
      </x:c>
      <x:c r="E55" s="6" t="str">
        <x:v>Rare (fixed)</x:v>
      </x:c>
      <x:c r="F55" s="6" t="str">
        <x:v>Level-up</x:v>
      </x:c>
      <x:c r="G55" s="6" t="str">
        <x:v>+5% chance to trigger Arc Volley.</x:v>
      </x:c>
      <x:c r="H55" s="6" t="str">
        <x:v>Saved base 15% + 5 percentage points per rank = 40%. Older docs say +10 points.</x:v>
      </x:c>
      <x:c r="I55" s="6" t="str">
        <x:v>BladeWave; CrescentArc</x:v>
      </x:c>
      <x:c r="J55" s="6" t="str">
        <x:v>Active</x:v>
      </x:c>
      <x:c r="K55" s="6" t="str">
        <x:v>/Game/HeavensDivide/Upgrades/Samurai/DA_Upgrade_SamuraiCrescentArcChance
Source/HeavensDivide/SamuraiAutoAttack.cpp:555</x:v>
      </x:c>
    </x:row>
    <x:row r="56" ht="51" customHeight="1">
      <x:c r="A56" s="6" t="str">
        <x:v>Crescent</x:v>
      </x:c>
      <x:c r="B56" s="6" t="str">
        <x:v>Chilling Waves</x:v>
      </x:c>
      <x:c r="C56" s="6" t="str">
        <x:v>CrescentSlow</x:v>
      </x:c>
      <x:c r="D56" s="13" t="n">
        <x:v>5</x:v>
      </x:c>
      <x:c r="E56" s="6" t="str">
        <x:v>Common (fixed)</x:v>
      </x:c>
      <x:c r="F56" s="6" t="str">
        <x:v>Level-up</x:v>
      </x:c>
      <x:c r="G56" s="6" t="str">
        <x:v>Waves slow enemies by an additional 5%.</x:v>
      </x:c>
      <x:c r="H56" s="6" t="str">
        <x:v>30% base + 5 percentage points per rank = 55%. Disabled and converted to Wave Damage under Sudden Eruption.</x:v>
      </x:c>
      <x:c r="I56" s="6" t="str">
        <x:v>BladeWave</x:v>
      </x:c>
      <x:c r="J56" s="6" t="str">
        <x:v>Active</x:v>
      </x:c>
      <x:c r="K56" s="6" t="str">
        <x:v>/Game/HeavensDivide/Upgrades/Samurai/DA_Upgrade_SamuraiCrescentSlow
Source/HeavensDivide/PlayerUpgradeComponent.cpp:46</x:v>
      </x:c>
    </x:row>
    <x:row r="57" ht="64" customHeight="1">
      <x:c r="A57" s="6" t="str">
        <x:v>Crescent</x:v>
      </x:c>
      <x:c r="B57" s="6" t="str">
        <x:v>Enduring Wake</x:v>
      </x:c>
      <x:c r="C57" s="6" t="str">
        <x:v>CrescentFieldPower</x:v>
      </x:c>
      <x:c r="D57" s="13" t="n">
        <x:v>5</x:v>
      </x:c>
      <x:c r="E57" s="6" t="str">
        <x:v>Rare (fixed)</x:v>
      </x:c>
      <x:c r="F57" s="6" t="str">
        <x:v>Level-up</x:v>
      </x:c>
      <x:c r="G57" s="6" t="str">
        <x:v>+15% Lingering Wake duration and total damage. Also increases Sudden Eruption damage.</x:v>
      </x:c>
      <x:c r="H57" s="6" t="str">
        <x:v>Raises duration and total field damage, not DPS: 3 to 5.25 s and +75% total at rank 5. Eruption gets the same total budget.</x:v>
      </x:c>
      <x:c r="I57" s="6" t="str">
        <x:v>BladeWave; CrescentField</x:v>
      </x:c>
      <x:c r="J57" s="6" t="str">
        <x:v>Active</x:v>
      </x:c>
      <x:c r="K57" s="6" t="str">
        <x:v>/Game/HeavensDivide/Upgrades/Samurai/DA_Upgrade_SamuraiCrescentFieldPower
Source/HeavensDivide/SamuraiBladeWave.cpp:182
Source/HeavensDivide/SamuraiWaveField.cpp:24</x:v>
      </x:c>
    </x:row>
    <x:row r="58" ht="51" customHeight="1">
      <x:c r="A58" s="6" t="str">
        <x:v>Crescent</x:v>
      </x:c>
      <x:c r="B58" s="6" t="str">
        <x:v>Fracture Mastery</x:v>
      </x:c>
      <x:c r="C58" s="6" t="str">
        <x:v>CrescentSplitChance</x:v>
      </x:c>
      <x:c r="D58" s="13" t="n">
        <x:v>5</x:v>
      </x:c>
      <x:c r="E58" s="6" t="str">
        <x:v>Rare (fixed)</x:v>
      </x:c>
      <x:c r="F58" s="6" t="str">
        <x:v>Level-up</x:v>
      </x:c>
      <x:c r="G58" s="6" t="str">
        <x:v>+10% chance to trigger Splitting Waves.</x:v>
      </x:c>
      <x:c r="H58" s="6" t="str">
        <x:v>Saved base 15% + 10 percentage points per rank = 65%. Older docs say +15 points.</x:v>
      </x:c>
      <x:c r="I58" s="6" t="str">
        <x:v>BladeWave; CrescentSplit</x:v>
      </x:c>
      <x:c r="J58" s="6" t="str">
        <x:v>Active</x:v>
      </x:c>
      <x:c r="K58" s="6" t="str">
        <x:v>/Game/HeavensDivide/Upgrades/Samurai/DA_Upgrade_SamuraiCrescentSplitChance
Source/HeavensDivide/SamuraiBladeWave.cpp:262</x:v>
      </x:c>
    </x:row>
    <x:row r="59" ht="51" customHeight="1">
      <x:c r="A59" s="6" t="str">
        <x:v>Crescent</x:v>
      </x:c>
      <x:c r="B59" s="6" t="str">
        <x:v>Lingering Chill</x:v>
      </x:c>
      <x:c r="C59" s="6" t="str">
        <x:v>CrescentSlowDuration</x:v>
      </x:c>
      <x:c r="D59" s="13" t="n">
        <x:v>5</x:v>
      </x:c>
      <x:c r="E59" s="6" t="str">
        <x:v>Common (fixed)</x:v>
      </x:c>
      <x:c r="F59" s="6" t="str">
        <x:v>Level-up</x:v>
      </x:c>
      <x:c r="G59" s="6" t="str">
        <x:v>Your waves slow enemies for 1 second longer.</x:v>
      </x:c>
      <x:c r="H59" s="6" t="str">
        <x:v>5 to 10 seconds. Disabled and converted to Wave Damage under Sudden Eruption.</x:v>
      </x:c>
      <x:c r="I59" s="6" t="str">
        <x:v>BladeWave</x:v>
      </x:c>
      <x:c r="J59" s="6" t="str">
        <x:v>Active</x:v>
      </x:c>
      <x:c r="K59" s="6" t="str">
        <x:v>/Game/HeavensDivide/Upgrades/Samurai/DA_Upgrade_SamuraiCrescentSlowDuration
Source/HeavensDivide/PlayerUpgradeComponent.cpp:46</x:v>
      </x:c>
    </x:row>
    <x:row r="60" ht="51" customHeight="1">
      <x:c r="A60" s="6" t="str">
        <x:v>Crescent</x:v>
      </x:c>
      <x:c r="B60" s="6" t="str">
        <x:v>Reinforcements</x:v>
      </x:c>
      <x:c r="C60" s="6" t="str">
        <x:v>CrescentAssistChance</x:v>
      </x:c>
      <x:c r="D60" s="13" t="n">
        <x:v>5</x:v>
      </x:c>
      <x:c r="E60" s="6" t="str">
        <x:v>Rare (fixed)</x:v>
      </x:c>
      <x:c r="F60" s="6" t="str">
        <x:v>Level-up</x:v>
      </x:c>
      <x:c r="G60" s="6" t="str">
        <x:v>+5% chance to trigger Ninja Assist.</x:v>
      </x:c>
      <x:c r="H60" s="6" t="str">
        <x:v>Base 5% + 5 percentage points/rank = 30% at rank 5.</x:v>
      </x:c>
      <x:c r="I60" s="6" t="str">
        <x:v>BladeWave; CrescentAssist</x:v>
      </x:c>
      <x:c r="J60" s="6" t="str">
        <x:v>Active</x:v>
      </x:c>
      <x:c r="K60" s="6" t="str">
        <x:v>/Game/HeavensDivide/Upgrades/Samurai/DA_Upgrade_SamuraiCrescentAssistChance
Source/HeavensDivide/CrescentBuild.cpp:17</x:v>
      </x:c>
    </x:row>
    <x:row r="61" ht="51" customHeight="1">
      <x:c r="A61" s="6" t="str">
        <x:v>Crescent</x:v>
      </x:c>
      <x:c r="B61" s="6" t="str">
        <x:v>Relentless Cuts</x:v>
      </x:c>
      <x:c r="C61" s="6" t="str">
        <x:v>CrescentDoubleCutFrequency</x:v>
      </x:c>
      <x:c r="D61" s="13" t="n">
        <x:v>3</x:v>
      </x:c>
      <x:c r="E61" s="6" t="str">
        <x:v>Rare (fixed)</x:v>
      </x:c>
      <x:c r="F61" s="6" t="str">
        <x:v>Level-up</x:v>
      </x:c>
      <x:c r="G61" s="6" t="str">
        <x:v>Double Cut requires 1 fewer attack, down to every attack.</x:v>
      </x:c>
      <x:c r="H61" s="6" t="str">
        <x:v>Base every fourth attack/launch; ranks 1/2/3 reduce cadence to every third/second/first. Effective cap min(card cap, global cadence cap=3).</x:v>
      </x:c>
      <x:c r="I61" s="6" t="str">
        <x:v>BladeWave; CrescentDoubleCut</x:v>
      </x:c>
      <x:c r="J61" s="6" t="str">
        <x:v>Active</x:v>
      </x:c>
      <x:c r="K61" s="6" t="str">
        <x:v>/Game/HeavensDivide/Upgrades/Samurai/DA_Upgrade_SamuraiCrescentDoubleCutFrequency
Source/HeavensDivide/SamuraiAutoAttack.cpp:551</x:v>
      </x:c>
    </x:row>
    <x:row r="62" ht="51" customHeight="1">
      <x:c r="A62" s="6" t="str">
        <x:v>Crescent</x:v>
      </x:c>
      <x:c r="B62" s="6" t="str">
        <x:v>Restless Wake</x:v>
      </x:c>
      <x:c r="C62" s="6" t="str">
        <x:v>CrescentFieldChance</x:v>
      </x:c>
      <x:c r="D62" s="13" t="n">
        <x:v>5</x:v>
      </x:c>
      <x:c r="E62" s="6" t="str">
        <x:v>Rare (fixed)</x:v>
      </x:c>
      <x:c r="F62" s="6" t="str">
        <x:v>Level-up</x:v>
      </x:c>
      <x:c r="G62" s="6" t="str">
        <x:v>+5% chance to trigger Lingering Wake.</x:v>
      </x:c>
      <x:c r="H62" s="6" t="str"/>
      <x:c r="I62" s="6" t="str">
        <x:v>BladeWave; CrescentField</x:v>
      </x:c>
      <x:c r="J62" s="6" t="str">
        <x:v>Active</x:v>
      </x:c>
      <x:c r="K62" s="6" t="str">
        <x:v>/Game/HeavensDivide/Upgrades/Samurai/DA_Upgrade_SamuraiCrescentFieldChance
Source/HeavensDivide/SamuraiBladeWave.cpp:65</x:v>
      </x:c>
    </x:row>
    <x:row r="63" ht="51" customHeight="1">
      <x:c r="A63" s="6" t="str">
        <x:v>Crescent</x:v>
      </x:c>
      <x:c r="B63" s="6" t="str">
        <x:v>Wave Damage</x:v>
      </x:c>
      <x:c r="C63" s="6" t="str">
        <x:v>CrescentDamage</x:v>
      </x:c>
      <x:c r="D63" s="13" t="n">
        <x:v>5</x:v>
      </x:c>
      <x:c r="E63" s="6" t="str">
        <x:v>Common (fixed)</x:v>
      </x:c>
      <x:c r="F63" s="6" t="str">
        <x:v>Level-up</x:v>
      </x:c>
      <x:c r="G63" s="6" t="str">
        <x:v>Waves and their damaging trails deal 20% more damage.</x:v>
      </x:c>
      <x:c r="H63" s="6" t="str"/>
      <x:c r="I63" s="6" t="str">
        <x:v>BladeWave</x:v>
      </x:c>
      <x:c r="J63" s="6" t="str">
        <x:v>Active</x:v>
      </x:c>
      <x:c r="K63" s="6" t="str">
        <x:v>/Game/HeavensDivide/Upgrades/Samurai/DA_Upgrade_SamuraiCrescentDamage
Source/HeavensDivide/SamuraiAutoAttack.cpp:541</x:v>
      </x:c>
    </x:row>
    <x:row r="64" ht="64" customHeight="1">
      <x:c r="A64" s="6" t="str">
        <x:v>Crescent</x:v>
      </x:c>
      <x:c r="B64" s="6" t="str">
        <x:v>Wave Range</x:v>
      </x:c>
      <x:c r="C64" s="6" t="str">
        <x:v>CrescentRange</x:v>
      </x:c>
      <x:c r="D64" s="13" t="n">
        <x:v>5</x:v>
      </x:c>
      <x:c r="E64" s="6" t="str">
        <x:v>Common (fixed)</x:v>
      </x:c>
      <x:c r="F64" s="6" t="str">
        <x:v>Level-up</x:v>
      </x:c>
      <x:c r="G64" s="6" t="str">
        <x:v>Waves travel 20% farther.</x:v>
      </x:c>
      <x:c r="H64" s="6" t="str">
        <x:v>650 to 1300 cm travel range at rank 5. Attack area and permanent width scale wave width separately.</x:v>
      </x:c>
      <x:c r="I64" s="6" t="str">
        <x:v>BladeWave</x:v>
      </x:c>
      <x:c r="J64" s="6" t="str">
        <x:v>Active</x:v>
      </x:c>
      <x:c r="K64" s="6" t="str">
        <x:v>/Game/HeavensDivide/Upgrades/Samurai/DA_Upgrade_SamuraiCrescentRange
Source/HeavensDivide/SamuraiAutoAttack.cpp:568
Source/HeavensDivide/AutoAttackComponent.cpp:1316</x:v>
      </x:c>
    </x:row>
    <x:row r="65" ht="51" customHeight="1">
      <x:c r="A65" s="6" t="str">
        <x:v>Crescent</x:v>
      </x:c>
      <x:c r="B65" s="6" t="str">
        <x:v>Wave Speed</x:v>
      </x:c>
      <x:c r="C65" s="6" t="str">
        <x:v>CrescentSpeed</x:v>
      </x:c>
      <x:c r="D65" s="13" t="n">
        <x:v>5</x:v>
      </x:c>
      <x:c r="E65" s="6" t="str">
        <x:v>Common (fixed)</x:v>
      </x:c>
      <x:c r="F65" s="6" t="str">
        <x:v>Level-up</x:v>
      </x:c>
      <x:c r="G65" s="6" t="str">
        <x:v>Waves travel 20% faster.</x:v>
      </x:c>
      <x:c r="H65" s="6" t="str">
        <x:v>Travel speed, not cast frequency. 1400 to 2800 cm/s at rank 5 before Crushing Tide.</x:v>
      </x:c>
      <x:c r="I65" s="6" t="str">
        <x:v>BladeWave</x:v>
      </x:c>
      <x:c r="J65" s="6" t="str">
        <x:v>Active</x:v>
      </x:c>
      <x:c r="K65" s="6" t="str">
        <x:v>/Game/HeavensDivide/Upgrades/Samurai/DA_Upgrade_SamuraiCrescentSpeed
Source/HeavensDivide/SamuraiAutoAttack.cpp:570</x:v>
      </x:c>
    </x:row>
    <x:row r="66" ht="51" customHeight="1">
      <x:c r="A66" s="6" t="str">
        <x:v>Crescent</x:v>
      </x:c>
      <x:c r="B66" s="6" t="str">
        <x:v>Crushing Tide</x:v>
      </x:c>
      <x:c r="C66" s="6" t="str">
        <x:v>CrescentPowerPact</x:v>
      </x:c>
      <x:c r="D66" s="13" t="n">
        <x:v>1</x:v>
      </x:c>
      <x:c r="E66" s="6" t="str">
        <x:v>Rare (fixed)</x:v>
      </x:c>
      <x:c r="F66" s="6" t="str">
        <x:v>Blood Shrine</x:v>
      </x:c>
      <x:c r="G66" s="6" t="str">
        <x:v>Crescent waves deal 1.5x damage and travel at 50% speed.</x:v>
      </x:c>
      <x:c r="H66" s="6" t="str">
        <x:v>Direct wave x1.5; travel speed x0.5. Does not increase the separate trail damage snapshot.</x:v>
      </x:c>
      <x:c r="I66" s="6" t="str">
        <x:v>BladeWave</x:v>
      </x:c>
      <x:c r="J66" s="6" t="str">
        <x:v>Active</x:v>
      </x:c>
      <x:c r="K66" s="6" t="str">
        <x:v>/Game/HeavensDivide/Upgrades/Samurai/DA_Upgrade_SamuraiCrescentPowerPact
Source/HeavensDivide/SamuraiAutoAttack.cpp:544</x:v>
      </x:c>
    </x:row>
    <x:row r="67" ht="64" customHeight="1">
      <x:c r="A67" s="6" t="str">
        <x:v>Crescent</x:v>
      </x:c>
      <x:c r="B67" s="6" t="str">
        <x:v>Scorched Wake</x:v>
      </x:c>
      <x:c r="C67" s="6" t="str">
        <x:v>CrescentFieldPact</x:v>
      </x:c>
      <x:c r="D67" s="13" t="n">
        <x:v>1</x:v>
      </x:c>
      <x:c r="E67" s="6" t="str">
        <x:v>Rare (fixed)</x:v>
      </x:c>
      <x:c r="F67" s="6" t="str">
        <x:v>Blood Shrine</x:v>
      </x:c>
      <x:c r="G67" s="6" t="str">
        <x:v>Lingering Wake deals 2 times its normal damage. Wave hits deal 80% of normal damage.</x:v>
      </x:c>
      <x:c r="H67" s="6" t="str">
        <x:v>Direct wave x0.8; trail DPS x2. Trail base damage is separated from direct-wave pact penalties.</x:v>
      </x:c>
      <x:c r="I67" s="6" t="str">
        <x:v>BladeWave; CrescentField</x:v>
      </x:c>
      <x:c r="J67" s="6" t="str">
        <x:v>Active</x:v>
      </x:c>
      <x:c r="K67" s="6" t="str">
        <x:v>/Game/HeavensDivide/Upgrades/Samurai/DA_Upgrade_SamuraiCrescentFieldPact
Source/HeavensDivide/SamuraiAutoAttack.cpp:543
Source/HeavensDivide/SamuraiWaveField.cpp:30</x:v>
      </x:c>
    </x:row>
    <x:row r="68" ht="51" customHeight="1">
      <x:c r="A68" s="6" t="str">
        <x:v>Crescent</x:v>
      </x:c>
      <x:c r="B68" s="6" t="str">
        <x:v>Sudden Eruption</x:v>
      </x:c>
      <x:c r="C68" s="6" t="str">
        <x:v>CrescentEruptionPact</x:v>
      </x:c>
      <x:c r="D68" s="13" t="n">
        <x:v>1</x:v>
      </x:c>
      <x:c r="E68" s="6" t="str">
        <x:v>Rare (fixed)</x:v>
      </x:c>
      <x:c r="F68" s="6" t="str">
        <x:v>Blood Shrine</x:v>
      </x:c>
      <x:c r="G68" s="6" t="str">
        <x:v>Trails erupt after 0.3s for their full damage. Waves no longer slow; slow upgrades become Wave Damage.</x:v>
      </x:c>
      <x:c r="H68" s="6" t="str">
        <x:v>Releases full field budget after 0.3 s. Removes slow and converts owned slow ranks into Wave Damage, preserving strength even above the rank display cap.</x:v>
      </x:c>
      <x:c r="I68" s="6" t="str">
        <x:v>BladeWave; CrescentField</x:v>
      </x:c>
      <x:c r="J68" s="6" t="str">
        <x:v>Active</x:v>
      </x:c>
      <x:c r="K68" s="6" t="str">
        <x:v>/Game/HeavensDivide/Upgrades/Samurai/DA_Upgrade_SamuraiCrescentEruptionPact
Source/HeavensDivide/SamuraiWaveField.cpp:32</x:v>
      </x:c>
    </x:row>
    <x:row r="69" ht="77" customHeight="1">
      <x:c r="A69" s="6" t="str">
        <x:v>Returning Fang</x:v>
      </x:c>
      <x:c r="B69" s="6" t="str">
        <x:v>Returning Fang Stance</x:v>
      </x:c>
      <x:c r="C69" s="6" t="str">
        <x:v>ReturningFang</x:v>
      </x:c>
      <x:c r="D69" s="13" t="n">
        <x:v>1</x:v>
      </x:c>
      <x:c r="E69" s="6" t="str">
        <x:v>Rare (fixed)</x:v>
      </x:c>
      <x:c r="F69" s="6" t="str">
        <x:v>Starting loadout</x:v>
      </x:c>
      <x:c r="G69" s="6" t="str">
        <x:v>Fangs hit and return, up to 2 launches per second. Stay close for faster cycles. Attack speed boosts flight speed; extra projectiles add 25% damage.</x:v>
      </x:c>
      <x:c r="H69" s="6" t="str">
        <x:v>One main homing Fang; outward selected-target hit only, no return-pass damage. Saved cap 2 launches/s. Attack rate and projectile speed both affect flight.</x:v>
      </x:c>
      <x:c r="I69" s="6" t="str">
        <x:v>None
Exclusivity group: NinjaWeaponStance</x:v>
      </x:c>
      <x:c r="J69" s="6" t="str">
        <x:v>Active</x:v>
      </x:c>
      <x:c r="K69" s="6" t="str">
        <x:v>/Game/HeavensDivide/Upgrades/Ninja/DA_Upgrade_NinjaReturningFangStance
Source/HeavensDivide/NinjaFangBuild.cpp:96
Source/HeavensDivide/NinjaBuildProjectile.cpp:75
Source/HeavensDivide/AutoAttackComponent.cpp:1054</x:v>
      </x:c>
    </x:row>
    <x:row r="70" ht="38" customHeight="1">
      <x:c r="A70" s="6" t="str">
        <x:v>Returning Fang</x:v>
      </x:c>
      <x:c r="B70" s="6" t="str">
        <x:v>Deadeye</x:v>
      </x:c>
      <x:c r="C70" s="6" t="str">
        <x:v>FangDeadeye</x:v>
      </x:c>
      <x:c r="D70" s="13" t="n">
        <x:v>1</x:v>
      </x:c>
      <x:c r="E70" s="6" t="str">
        <x:v>Common (fixed)</x:v>
      </x:c>
      <x:c r="F70" s="6" t="str">
        <x:v>Level-up</x:v>
      </x:c>
      <x:c r="G70" s="6" t="str">
        <x:v>Fang hits have a 15% chance to deal double damage.</x:v>
      </x:c>
      <x:c r="H70" s="6" t="str"/>
      <x:c r="I70" s="6" t="str">
        <x:v>ReturningFang</x:v>
      </x:c>
      <x:c r="J70" s="6" t="str">
        <x:v>Active</x:v>
      </x:c>
      <x:c r="K70" s="6" t="str">
        <x:v>/Game/HeavensDivide/Upgrades/Ninja/DA_Upgrade_NinjaFangDeadeye
Source/HeavensDivide/NinjaFangBuild.cpp:88</x:v>
      </x:c>
    </x:row>
    <x:row r="71" ht="51" customHeight="1">
      <x:c r="A71" s="6" t="str">
        <x:v>Returning Fang</x:v>
      </x:c>
      <x:c r="B71" s="6" t="str">
        <x:v>Killing Edge</x:v>
      </x:c>
      <x:c r="C71" s="6" t="str">
        <x:v>FangKillingEdge</x:v>
      </x:c>
      <x:c r="D71" s="13" t="n">
        <x:v>1</x:v>
      </x:c>
      <x:c r="E71" s="6" t="str">
        <x:v>Common (fixed)</x:v>
      </x:c>
      <x:c r="F71" s="6" t="str">
        <x:v>Level-up</x:v>
      </x:c>
      <x:c r="G71" s="6" t="str">
        <x:v>Fang kills have a 15% chance to strike 2 more enemies before returning.</x:v>
      </x:c>
      <x:c r="H71" s="6" t="str">
        <x:v>First kill rolls once per trip for up to two additional targets. Follow-up kills do not extend the chain.</x:v>
      </x:c>
      <x:c r="I71" s="6" t="str">
        <x:v>ReturningFang</x:v>
      </x:c>
      <x:c r="J71" s="6" t="str">
        <x:v>Active</x:v>
      </x:c>
      <x:c r="K71" s="6" t="str">
        <x:v>/Game/HeavensDivide/Upgrades/Ninja/DA_Upgrade_NinjaFangKillingEdge
Source/HeavensDivide/NinjaBuildProjectile.cpp:191</x:v>
      </x:c>
    </x:row>
    <x:row r="72" ht="51" customHeight="1">
      <x:c r="A72" s="6" t="str">
        <x:v>Returning Fang</x:v>
      </x:c>
      <x:c r="B72" s="6" t="str">
        <x:v>Relentless Fang</x:v>
      </x:c>
      <x:c r="C72" s="6" t="str">
        <x:v>RelentlessFang</x:v>
      </x:c>
      <x:c r="D72" s="13" t="n">
        <x:v>1</x:v>
      </x:c>
      <x:c r="E72" s="6" t="str">
        <x:v>Common (fixed)</x:v>
      </x:c>
      <x:c r="F72" s="6" t="str">
        <x:v>Level-up</x:v>
      </x:c>
      <x:c r="G72" s="6" t="str">
        <x:v>Repeated hits from the same Fang gain +15% damage per hit, up to +75%. Changing targets resets the bonus.</x:v>
      </x:c>
      <x:c r="H72" s="6" t="str">
        <x:v>Same projectile tracks its last victim across launches. First hit has zero bonus; five repeats reach +75%. Changing victim resets the streak.</x:v>
      </x:c>
      <x:c r="I72" s="6" t="str">
        <x:v>ReturningFang</x:v>
      </x:c>
      <x:c r="J72" s="6" t="str">
        <x:v>Active</x:v>
      </x:c>
      <x:c r="K72" s="6" t="str">
        <x:v>/Game/HeavensDivide/Upgrades/Ninja/DA_Upgrade_NinjaRelentlessFang
Source/HeavensDivide/NinjaFangBuild.cpp:74</x:v>
      </x:c>
    </x:row>
    <x:row r="73" ht="51" customHeight="1">
      <x:c r="A73" s="6" t="str">
        <x:v>Returning Fang</x:v>
      </x:c>
      <x:c r="B73" s="6" t="str">
        <x:v>Resonant Fang</x:v>
      </x:c>
      <x:c r="C73" s="6" t="str">
        <x:v>FangResonance</x:v>
      </x:c>
      <x:c r="D73" s="13" t="n">
        <x:v>1</x:v>
      </x:c>
      <x:c r="E73" s="6" t="str">
        <x:v>Common (fixed)</x:v>
      </x:c>
      <x:c r="F73" s="6" t="str">
        <x:v>Level-up</x:v>
      </x:c>
      <x:c r="G73" s="6" t="str">
        <x:v>A Fang returning after a hit bursts around you for 50% Fang damage. Bursts cannot trigger Fang effects.</x:v>
      </x:c>
      <x:c r="H73" s="6" t="str">
        <x:v>Requires a successful outbound hit. Return burst uses base projectile damage, not the prior target-specific crit/streak multiplier.</x:v>
      </x:c>
      <x:c r="I73" s="6" t="str">
        <x:v>ReturningFang</x:v>
      </x:c>
      <x:c r="J73" s="6" t="str">
        <x:v>Active</x:v>
      </x:c>
      <x:c r="K73" s="6" t="str">
        <x:v>/Game/HeavensDivide/Upgrades/Ninja/DA_Upgrade_NinjaFangResonance
Source/HeavensDivide/NinjaFangBuild.cpp:117</x:v>
      </x:c>
    </x:row>
    <x:row r="74" ht="38" customHeight="1">
      <x:c r="A74" s="6" t="str">
        <x:v>Returning Fang</x:v>
      </x:c>
      <x:c r="B74" s="6" t="str">
        <x:v>Samurai Assist</x:v>
      </x:c>
      <x:c r="C74" s="6" t="str">
        <x:v>FangAssist</x:v>
      </x:c>
      <x:c r="D74" s="13" t="n">
        <x:v>1</x:v>
      </x:c>
      <x:c r="E74" s="6" t="str">
        <x:v>Common (fixed)</x:v>
      </x:c>
      <x:c r="F74" s="6" t="str">
        <x:v>Level-up</x:v>
      </x:c>
      <x:c r="G74" s="6" t="str">
        <x:v>Main-Fang round trips have a 5% chance to call Samurai. Can trigger once per second.</x:v>
      </x:c>
      <x:c r="H74" s="6" t="str">
        <x:v>Successful main-Fang returns only. Base 5% up to 30%, with 1 s cooldown after a successful assist; spectral returns excluded.</x:v>
      </x:c>
      <x:c r="I74" s="6" t="str">
        <x:v>ReturningFang</x:v>
      </x:c>
      <x:c r="J74" s="6" t="str">
        <x:v>Active</x:v>
      </x:c>
      <x:c r="K74" s="6" t="str">
        <x:v>/Game/HeavensDivide/Upgrades/Ninja/DA_Upgrade_NinjaFangAssist
Source/HeavensDivide/NinjaFangBuild.cpp:132</x:v>
      </x:c>
    </x:row>
    <x:row r="75" ht="51" customHeight="1">
      <x:c r="A75" s="6" t="str">
        <x:v>Returning Fang</x:v>
      </x:c>
      <x:c r="B75" s="6" t="str">
        <x:v>Splintering Fang</x:v>
      </x:c>
      <x:c r="C75" s="6" t="str">
        <x:v>FangSplinter</x:v>
      </x:c>
      <x:c r="D75" s="13" t="n">
        <x:v>1</x:v>
      </x:c>
      <x:c r="E75" s="6" t="str">
        <x:v>Common (fixed)</x:v>
      </x:c>
      <x:c r="F75" s="6" t="str">
        <x:v>Level-up</x:v>
      </x:c>
      <x:c r="G75" s="6" t="str">
        <x:v>Fang kills scatter 1 kunai per Fang hit taken, each dealing 40% Fang damage. These kunai cannot trigger Fang effects.</x:v>
      </x:c>
      <x:c r="H75" s="6" t="str">
        <x:v>One fragment per recorded Fang hit on the killed victim. Emission is queued at up to 16 per processing call; total not truncated.</x:v>
      </x:c>
      <x:c r="I75" s="6" t="str">
        <x:v>ReturningFang</x:v>
      </x:c>
      <x:c r="J75" s="6" t="str">
        <x:v>Active</x:v>
      </x:c>
      <x:c r="K75" s="6" t="str">
        <x:v>/Game/HeavensDivide/Upgrades/Ninja/DA_Upgrade_NinjaFangSplinter
Source/HeavensDivide/NinjaFangBuild.cpp:105
Source/HeavensDivide/NinjaBuildProjectile.cpp:214</x:v>
      </x:c>
    </x:row>
    <x:row r="76" ht="38" customHeight="1">
      <x:c r="A76" s="6" t="str">
        <x:v>Returning Fang</x:v>
      </x:c>
      <x:c r="B76" s="6" t="str">
        <x:v>Twin Fang</x:v>
      </x:c>
      <x:c r="C76" s="6" t="str">
        <x:v>FangTwin</x:v>
      </x:c>
      <x:c r="D76" s="13" t="n">
        <x:v>1</x:v>
      </x:c>
      <x:c r="E76" s="6" t="str">
        <x:v>Common (fixed)</x:v>
      </x:c>
      <x:c r="F76" s="6" t="str">
        <x:v>Level-up</x:v>
      </x:c>
      <x:c r="G76" s="6" t="str">
        <x:v>Every 4 launches, send 1 extra spectral Fang, seeking a different target when possible.</x:v>
      </x:c>
      <x:c r="H76" s="6" t="str">
        <x:v>Saved ExtraBlades=1, overriding the C++ fallback of 2. Spectral Fang returns once and cannot create more Fangs.</x:v>
      </x:c>
      <x:c r="I76" s="6" t="str">
        <x:v>ReturningFang</x:v>
      </x:c>
      <x:c r="J76" s="6" t="str">
        <x:v>Active</x:v>
      </x:c>
      <x:c r="K76" s="6" t="str">
        <x:v>/Game/HeavensDivide/Upgrades/Ninja/DA_Upgrade_NinjaFangTwin
Source/HeavensDivide/NinjaFangBuild.cpp:36</x:v>
      </x:c>
    </x:row>
    <x:row r="77" ht="38" customHeight="1">
      <x:c r="A77" s="6" t="str">
        <x:v>Returning Fang</x:v>
      </x:c>
      <x:c r="B77" s="6" t="str">
        <x:v>Attack Range</x:v>
      </x:c>
      <x:c r="C77" s="6" t="str">
        <x:v>FangRange</x:v>
      </x:c>
      <x:c r="D77" s="13" t="n">
        <x:v>5</x:v>
      </x:c>
      <x:c r="E77" s="6" t="str">
        <x:v>Common / Rare / Epic</x:v>
      </x:c>
      <x:c r="F77" s="6" t="str">
        <x:v>Level-up</x:v>
      </x:c>
      <x:c r="G77" s="6" t="str">
        <x:v>Fangs seek enemies 15% farther away.</x:v>
      </x:c>
      <x:c r="H77" s="6" t="str">
        <x:v>850 cm base targeting range, plus rolled contributions and permanent Fang reach. Does not enlarge the return burst.</x:v>
      </x:c>
      <x:c r="I77" s="6" t="str">
        <x:v>ReturningFang</x:v>
      </x:c>
      <x:c r="J77" s="6" t="str">
        <x:v>Active</x:v>
      </x:c>
      <x:c r="K77" s="6" t="str">
        <x:v>/Game/HeavensDivide/Upgrades/Ninja/DA_Upgrade_NinjaFangRange
Source/HeavensDivide/AutoAttackComponent.cpp:1329</x:v>
      </x:c>
    </x:row>
    <x:row r="78" ht="51" customHeight="1">
      <x:c r="A78" s="6" t="str">
        <x:v>Returning Fang</x:v>
      </x:c>
      <x:c r="B78" s="6" t="str">
        <x:v>Close Quarters</x:v>
      </x:c>
      <x:c r="C78" s="6" t="str">
        <x:v>FangCloseQuarters</x:v>
      </x:c>
      <x:c r="D78" s="13" t="n">
        <x:v>5</x:v>
      </x:c>
      <x:c r="E78" s="6" t="str">
        <x:v>Common / Rare / Epic</x:v>
      </x:c>
      <x:c r="F78" s="6" t="str">
        <x:v>Level-up</x:v>
      </x:c>
      <x:c r="G78" s="6" t="str">
        <x:v>Fang hits deal 10% more damage to enemies within 3 metres of you.</x:v>
      </x:c>
      <x:c r="H78" s="6" t="str"/>
      <x:c r="I78" s="6" t="str">
        <x:v>ReturningFang</x:v>
      </x:c>
      <x:c r="J78" s="6" t="str">
        <x:v>Active</x:v>
      </x:c>
      <x:c r="K78" s="6" t="str">
        <x:v>/Game/HeavensDivide/Upgrades/Ninja/DA_Upgrade_NinjaFangCloseQuarters
Source/HeavensDivide/NinjaFangBuild.cpp:82</x:v>
      </x:c>
    </x:row>
    <x:row r="79" ht="51" customHeight="1">
      <x:c r="A79" s="6" t="str">
        <x:v>Returning Fang</x:v>
      </x:c>
      <x:c r="B79" s="6" t="str">
        <x:v>Deadeye Mastery</x:v>
      </x:c>
      <x:c r="C79" s="6" t="str">
        <x:v>FangCriticalChance</x:v>
      </x:c>
      <x:c r="D79" s="13" t="n">
        <x:v>5</x:v>
      </x:c>
      <x:c r="E79" s="6" t="str">
        <x:v>Rare (fixed)</x:v>
      </x:c>
      <x:c r="F79" s="6" t="str">
        <x:v>Level-up</x:v>
      </x:c>
      <x:c r="G79" s="6" t="str">
        <x:v>Adds 10% critical-hit chance to Fang hits.</x:v>
      </x:c>
      <x:c r="H79" s="6" t="str">
        <x:v>Base 15% + 10 percentage points/rank = 65% at rank 5.</x:v>
      </x:c>
      <x:c r="I79" s="6" t="str">
        <x:v>ReturningFang; FangDeadeye</x:v>
      </x:c>
      <x:c r="J79" s="6" t="str">
        <x:v>Active</x:v>
      </x:c>
      <x:c r="K79" s="6" t="str">
        <x:v>/Game/HeavensDivide/Upgrades/Ninja/DA_Upgrade_NinjaFangCriticalChance
Source/HeavensDivide/NinjaFangBuild.cpp:90</x:v>
      </x:c>
    </x:row>
    <x:row r="80" ht="38" customHeight="1">
      <x:c r="A80" s="6" t="str">
        <x:v>Returning Fang</x:v>
      </x:c>
      <x:c r="B80" s="6" t="str">
        <x:v>Fang Damage</x:v>
      </x:c>
      <x:c r="C80" s="6" t="str">
        <x:v>FangDamage</x:v>
      </x:c>
      <x:c r="D80" s="13" t="n">
        <x:v>5</x:v>
      </x:c>
      <x:c r="E80" s="6" t="str">
        <x:v>Common / Rare / Epic</x:v>
      </x:c>
      <x:c r="F80" s="6" t="str">
        <x:v>Level-up</x:v>
      </x:c>
      <x:c r="G80" s="6" t="str">
        <x:v>Fangs deal 20% more damage.</x:v>
      </x:c>
      <x:c r="H80" s="6" t="str"/>
      <x:c r="I80" s="6" t="str">
        <x:v>ReturningFang</x:v>
      </x:c>
      <x:c r="J80" s="6" t="str">
        <x:v>Active</x:v>
      </x:c>
      <x:c r="K80" s="6" t="str">
        <x:v>/Game/HeavensDivide/Upgrades/Ninja/DA_Upgrade_NinjaFangDamage
Source/HeavensDivide/AutoAttackComponent.cpp:1265</x:v>
      </x:c>
    </x:row>
    <x:row r="81" ht="38" customHeight="1">
      <x:c r="A81" s="6" t="str">
        <x:v>Returning Fang</x:v>
      </x:c>
      <x:c r="B81" s="6" t="str">
        <x:v>Flight Speed</x:v>
      </x:c>
      <x:c r="C81" s="6" t="str">
        <x:v>FangSpeed</x:v>
      </x:c>
      <x:c r="D81" s="13" t="n">
        <x:v>5</x:v>
      </x:c>
      <x:c r="E81" s="6" t="str">
        <x:v>Common / Rare / Epic</x:v>
      </x:c>
      <x:c r="F81" s="6" t="str">
        <x:v>Level-up</x:v>
      </x:c>
      <x:c r="G81" s="6" t="str">
        <x:v>Fangs travel 15% faster on outward and return trips.</x:v>
      </x:c>
      <x:c r="H81" s="6" t="str"/>
      <x:c r="I81" s="6" t="str">
        <x:v>ReturningFang</x:v>
      </x:c>
      <x:c r="J81" s="6" t="str">
        <x:v>Active</x:v>
      </x:c>
      <x:c r="K81" s="6" t="str">
        <x:v>/Game/HeavensDivide/Upgrades/Ninja/DA_Upgrade_NinjaFangSpeed
Source/HeavensDivide/NinjaFangBuild.cpp:27</x:v>
      </x:c>
    </x:row>
    <x:row r="82" ht="51" customHeight="1">
      <x:c r="A82" s="6" t="str">
        <x:v>Returning Fang</x:v>
      </x:c>
      <x:c r="B82" s="6" t="str">
        <x:v>Killing Momentum</x:v>
      </x:c>
      <x:c r="C82" s="6" t="str">
        <x:v>FangPursuitChance</x:v>
      </x:c>
      <x:c r="D82" s="13" t="n">
        <x:v>5</x:v>
      </x:c>
      <x:c r="E82" s="6" t="str">
        <x:v>Rare (fixed)</x:v>
      </x:c>
      <x:c r="F82" s="6" t="str">
        <x:v>Level-up</x:v>
      </x:c>
      <x:c r="G82" s="6" t="str">
        <x:v>+10% chance for Killing Edge to strike two more enemies.</x:v>
      </x:c>
      <x:c r="H82" s="6" t="str"/>
      <x:c r="I82" s="6" t="str">
        <x:v>ReturningFang; FangKillingEdge</x:v>
      </x:c>
      <x:c r="J82" s="6" t="str">
        <x:v>Active</x:v>
      </x:c>
      <x:c r="K82" s="6" t="str">
        <x:v>/Game/HeavensDivide/Upgrades/Ninja/DA_Upgrade_NinjaFangPursuitChance
Source/HeavensDivide/NinjaBuildProjectile.cpp:195</x:v>
      </x:c>
    </x:row>
    <x:row r="83" ht="51" customHeight="1">
      <x:c r="A83" s="6" t="str">
        <x:v>Returning Fang</x:v>
      </x:c>
      <x:c r="B83" s="6" t="str">
        <x:v>Reinforcements</x:v>
      </x:c>
      <x:c r="C83" s="6" t="str">
        <x:v>FangAssistChance</x:v>
      </x:c>
      <x:c r="D83" s="13" t="n">
        <x:v>5</x:v>
      </x:c>
      <x:c r="E83" s="6" t="str">
        <x:v>Rare (fixed)</x:v>
      </x:c>
      <x:c r="F83" s="6" t="str">
        <x:v>Level-up</x:v>
      </x:c>
      <x:c r="G83" s="6" t="str">
        <x:v>Adds 5% chance to call Samurai on a completed main-Fang round trip.</x:v>
      </x:c>
      <x:c r="H83" s="6" t="str">
        <x:v>Base 5% + 5 percentage points/rank = 30% at rank 5.</x:v>
      </x:c>
      <x:c r="I83" s="6" t="str">
        <x:v>ReturningFang; FangAssist</x:v>
      </x:c>
      <x:c r="J83" s="6" t="str">
        <x:v>Active</x:v>
      </x:c>
      <x:c r="K83" s="6" t="str">
        <x:v>/Game/HeavensDivide/Upgrades/Ninja/DA_Upgrade_NinjaFangAssistChance
Source/HeavensDivide/NinjaFangBuild.cpp:134</x:v>
      </x:c>
    </x:row>
    <x:row r="84" ht="38" customHeight="1">
      <x:c r="A84" s="6" t="str">
        <x:v>Returning Fang</x:v>
      </x:c>
      <x:c r="B84" s="6" t="str">
        <x:v>Relentless Pressure</x:v>
      </x:c>
      <x:c r="C84" s="6" t="str">
        <x:v>FangPressure</x:v>
      </x:c>
      <x:c r="D84" s="13" t="n">
        <x:v>5</x:v>
      </x:c>
      <x:c r="E84" s="6" t="str">
        <x:v>Rare (fixed)</x:v>
      </x:c>
      <x:c r="F84" s="6" t="str">
        <x:v>Level-up</x:v>
      </x:c>
      <x:c r="G84" s="6" t="str">
        <x:v>Increases Relentless Fang's damage per stack and maximum bonus by 20% of their base values.</x:v>
      </x:c>
      <x:c r="H84" s="6" t="str">
        <x:v>Multiplies only the Relentless damage bonus, not the whole hit. At rank 5, +15% per repeat becomes +30%, cap +75% becomes +150%.</x:v>
      </x:c>
      <x:c r="I84" s="6" t="str">
        <x:v>ReturningFang; RelentlessFang</x:v>
      </x:c>
      <x:c r="J84" s="6" t="str">
        <x:v>Active</x:v>
      </x:c>
      <x:c r="K84" s="6" t="str">
        <x:v>/Game/HeavensDivide/Upgrades/Ninja/DA_Upgrade_NinjaFangPressure
Source/HeavensDivide/NinjaFangBuild.cpp:76</x:v>
      </x:c>
    </x:row>
    <x:row r="85" ht="51" customHeight="1">
      <x:c r="A85" s="6" t="str">
        <x:v>Returning Fang</x:v>
      </x:c>
      <x:c r="B85" s="6" t="str">
        <x:v>Resonant Power</x:v>
      </x:c>
      <x:c r="C85" s="6" t="str">
        <x:v>FangBurstPower</x:v>
      </x:c>
      <x:c r="D85" s="13" t="n">
        <x:v>10</x:v>
      </x:c>
      <x:c r="E85" s="6" t="str">
        <x:v>Common (fixed)</x:v>
      </x:c>
      <x:c r="F85" s="6" t="str">
        <x:v>Level-up</x:v>
      </x:c>
      <x:c r="G85" s="6" t="str">
        <x:v>Resonant Fang bursts deal 20% more damage.</x:v>
      </x:c>
      <x:c r="H85" s="6" t="str">
        <x:v>10 ranks, unlike most five-rank supports. +200% at cap makes burst damage x3 its base amount.</x:v>
      </x:c>
      <x:c r="I85" s="6" t="str">
        <x:v>ReturningFang; FangResonance</x:v>
      </x:c>
      <x:c r="J85" s="6" t="str">
        <x:v>Active</x:v>
      </x:c>
      <x:c r="K85" s="6" t="str">
        <x:v>/Game/HeavensDivide/Upgrades/Ninja/DA_Upgrade_NinjaFangBurstPower
Source/HeavensDivide/NinjaFangBuild.cpp:124</x:v>
      </x:c>
    </x:row>
    <x:row r="86" ht="51" customHeight="1">
      <x:c r="A86" s="6" t="str">
        <x:v>Returning Fang</x:v>
      </x:c>
      <x:c r="B86" s="6" t="str">
        <x:v>Resonant Reach</x:v>
      </x:c>
      <x:c r="C86" s="6" t="str">
        <x:v>FangResonantReach</x:v>
      </x:c>
      <x:c r="D86" s="13" t="n">
        <x:v>5</x:v>
      </x:c>
      <x:c r="E86" s="6" t="str">
        <x:v>Rare (fixed)</x:v>
      </x:c>
      <x:c r="F86" s="6" t="str">
        <x:v>Level-up</x:v>
      </x:c>
      <x:c r="G86" s="6" t="str">
        <x:v>Resonant Fang bursts have 15% more radius.</x:v>
      </x:c>
      <x:c r="H86" s="6" t="str">
        <x:v>250 to 437.5 cm burst radius at rank 5. Independent of generic attack coverage.</x:v>
      </x:c>
      <x:c r="I86" s="6" t="str">
        <x:v>ReturningFang; FangResonance</x:v>
      </x:c>
      <x:c r="J86" s="6" t="str">
        <x:v>Active</x:v>
      </x:c>
      <x:c r="K86" s="6" t="str">
        <x:v>/Game/HeavensDivide/Upgrades/Ninja/DA_Upgrade_NinjaFangResonantReach
Source/HeavensDivide/NinjaFangBuild.cpp:122</x:v>
      </x:c>
    </x:row>
    <x:row r="87" ht="51" customHeight="1">
      <x:c r="A87" s="6" t="str">
        <x:v>Returning Fang</x:v>
      </x:c>
      <x:c r="B87" s="6" t="str">
        <x:v>Splinter Power</x:v>
      </x:c>
      <x:c r="C87" s="6" t="str">
        <x:v>FangSplinterPower</x:v>
      </x:c>
      <x:c r="D87" s="13" t="n">
        <x:v>5</x:v>
      </x:c>
      <x:c r="E87" s="6" t="str">
        <x:v>Rare (fixed)</x:v>
      </x:c>
      <x:c r="F87" s="6" t="str">
        <x:v>Level-up</x:v>
      </x:c>
      <x:c r="G87" s="6" t="str">
        <x:v>Splintering Fang kunai deal 20% more damage.</x:v>
      </x:c>
      <x:c r="H87" s="6" t="str"/>
      <x:c r="I87" s="6" t="str">
        <x:v>ReturningFang; FangSplinter</x:v>
      </x:c>
      <x:c r="J87" s="6" t="str">
        <x:v>Active</x:v>
      </x:c>
      <x:c r="K87" s="6" t="str">
        <x:v>/Game/HeavensDivide/Upgrades/Ninja/DA_Upgrade_NinjaFangSplinterPower
Source/HeavensDivide/NinjaFangBuild.cpp:107</x:v>
      </x:c>
    </x:row>
    <x:row r="88" ht="51" customHeight="1">
      <x:c r="A88" s="6" t="str">
        <x:v>Returning Fang</x:v>
      </x:c>
      <x:c r="B88" s="6" t="str">
        <x:v>Twin Fang Frequency</x:v>
      </x:c>
      <x:c r="C88" s="6" t="str">
        <x:v>FangTwinFrequency</x:v>
      </x:c>
      <x:c r="D88" s="13" t="n">
        <x:v>3</x:v>
      </x:c>
      <x:c r="E88" s="6" t="str">
        <x:v>Rare (fixed)</x:v>
      </x:c>
      <x:c r="F88" s="6" t="str">
        <x:v>Level-up</x:v>
      </x:c>
      <x:c r="G88" s="6" t="str">
        <x:v>Twin Fang triggers 1 launch sooner per rank, down to every launch.</x:v>
      </x:c>
      <x:c r="H88" s="6" t="str">
        <x:v>Base every fourth attack/launch; ranks 1/2/3 reduce cadence to every third/second/first. Effective cap min(card cap, global cadence cap=3).</x:v>
      </x:c>
      <x:c r="I88" s="6" t="str">
        <x:v>ReturningFang; FangTwin</x:v>
      </x:c>
      <x:c r="J88" s="6" t="str">
        <x:v>Active</x:v>
      </x:c>
      <x:c r="K88" s="6" t="str">
        <x:v>/Game/HeavensDivide/Upgrades/Ninja/DA_Upgrade_NinjaFangTwinFrequency
Source/HeavensDivide/NinjaFangBuild.cpp:36</x:v>
      </x:c>
    </x:row>
    <x:row r="89" ht="51" customHeight="1">
      <x:c r="A89" s="6" t="str">
        <x:v>Returning Fang</x:v>
      </x:c>
      <x:c r="B89" s="6" t="str">
        <x:v>Farstrider</x:v>
      </x:c>
      <x:c r="C89" s="6" t="str">
        <x:v>FangFarstrider</x:v>
      </x:c>
      <x:c r="D89" s="13" t="n">
        <x:v>1</x:v>
      </x:c>
      <x:c r="E89" s="6" t="str">
        <x:v>Rare (fixed)</x:v>
      </x:c>
      <x:c r="F89" s="6" t="str">
        <x:v>Blood Shrine</x:v>
      </x:c>
      <x:c r="G89" s="6" t="str">
        <x:v>Fangs travel 25% slower, but gain up to 200% damage over 10 metres of outward travel.</x:v>
      </x:c>
      <x:c r="H89" s="6" t="str">
        <x:v>Outward distance grants up to +200% damage at 1000 cm; speed x0.75. Base target range 850 cm needs reach investment to target farther away.</x:v>
      </x:c>
      <x:c r="I89" s="6" t="str">
        <x:v>ReturningFang</x:v>
      </x:c>
      <x:c r="J89" s="6" t="str">
        <x:v>Active</x:v>
      </x:c>
      <x:c r="K89" s="6" t="str">
        <x:v>/Game/HeavensDivide/Upgrades/Ninja/DA_Upgrade_NinjaFangFarstrider
Source/HeavensDivide/NinjaFangBuild.cpp:28</x:v>
      </x:c>
    </x:row>
    <x:row r="90" ht="38" customHeight="1">
      <x:c r="A90" s="6" t="str">
        <x:v>Returning Fang</x:v>
      </x:c>
      <x:c r="B90" s="6" t="str">
        <x:v>Predator's Price</x:v>
      </x:c>
      <x:c r="C90" s="6" t="str">
        <x:v>FangPredator</x:v>
      </x:c>
      <x:c r="D90" s="13" t="n">
        <x:v>1</x:v>
      </x:c>
      <x:c r="E90" s="6" t="str">
        <x:v>Rare (fixed)</x:v>
      </x:c>
      <x:c r="F90" s="6" t="str">
        <x:v>Blood Shrine</x:v>
      </x:c>
      <x:c r="G90" s="6" t="str">
        <x:v>Fang critical hits deal 50% more damage. Noncritical hits deal 85% of normal damage.</x:v>
      </x:c>
      <x:c r="H90" s="6" t="str">
        <x:v>Critical multiplier becomes x3. Noncritical x0.85. Expected average x1.1725 at 15% crit, versus x1.15 without this pact.</x:v>
      </x:c>
      <x:c r="I90" s="6" t="str">
        <x:v>ReturningFang; FangDeadeye</x:v>
      </x:c>
      <x:c r="J90" s="6" t="str">
        <x:v>Active</x:v>
      </x:c>
      <x:c r="K90" s="6" t="str">
        <x:v>/Game/HeavensDivide/Upgrades/Ninja/DA_Upgrade_NinjaFangPredator
Source/HeavensDivide/NinjaFangBuild.cpp:92</x:v>
      </x:c>
    </x:row>
    <x:row r="91" ht="38" customHeight="1">
      <x:c r="A91" s="6" t="str">
        <x:v>Returning Fang</x:v>
      </x:c>
      <x:c r="B91" s="6" t="str">
        <x:v>Redline</x:v>
      </x:c>
      <x:c r="C91" s="6" t="str">
        <x:v>FangRedline</x:v>
      </x:c>
      <x:c r="D91" s="13" t="n">
        <x:v>1</x:v>
      </x:c>
      <x:c r="E91" s="6" t="str">
        <x:v>Rare (fixed)</x:v>
      </x:c>
      <x:c r="F91" s="6" t="str">
        <x:v>Blood Shrine</x:v>
      </x:c>
      <x:c r="G91" s="6" t="str">
        <x:v>Fangs travel 60% faster, but deal 30% less damage.</x:v>
      </x:c>
      <x:c r="H91" s="6" t="str">
        <x:v>Flight x1.6, damage x0.7. Speed benefits plateau at 2 launches/s, leaving the damage penalty when already at the cap.</x:v>
      </x:c>
      <x:c r="I91" s="6" t="str">
        <x:v>ReturningFang</x:v>
      </x:c>
      <x:c r="J91" s="6" t="str">
        <x:v>Active</x:v>
      </x:c>
      <x:c r="K91" s="6" t="str">
        <x:v>/Game/HeavensDivide/Upgrades/Ninja/DA_Upgrade_NinjaFangRedline
Source/HeavensDivide/NinjaFangBuild.cpp:22</x:v>
      </x:c>
    </x:row>
    <x:row r="92" ht="77" customHeight="1">
      <x:c r="A92" s="6" t="str">
        <x:v>Barrage</x:v>
      </x:c>
      <x:c r="B92" s="6" t="str">
        <x:v>Barrage Stance</x:v>
      </x:c>
      <x:c r="C92" s="6" t="str">
        <x:v>BarrageStance</x:v>
      </x:c>
      <x:c r="D92" s="13" t="n">
        <x:v>1</x:v>
      </x:c>
      <x:c r="E92" s="6" t="str">
        <x:v>Rare (fixed)</x:v>
      </x:c>
      <x:c r="F92" s="6" t="str">
        <x:v>Starting loadout</x:v>
      </x:c>
      <x:c r="G92" s="6" t="str">
        <x:v>+30% attack speed and 2 extra kunai. Each kunai deals 60% damage. Poison: 5% hit damage per stack over 5s, up to 20 stacks; hits refresh them.</x:v>
      </x:c>
      <x:c r="H92" s="6" t="str">
        <x:v>Base three kunai at 60% damage, x1.3 attack rate. Saved poison tick interval is 0.2 s (25 ticks over 5 s), not the 0.5 s fallback.</x:v>
      </x:c>
      <x:c r="I92" s="6" t="str">
        <x:v>None
Exclusivity group: NinjaWeaponStance</x:v>
      </x:c>
      <x:c r="J92" s="6" t="str">
        <x:v>Active</x:v>
      </x:c>
      <x:c r="K92" s="6" t="str">
        <x:v>/Game/HeavensDivide/Upgrades/Ninja/DA_Upgrade_NinjaBarrageStance
Source/HeavensDivide/BarragePoison.cpp:17
Source/HeavensDivide/BarragePoisonPool.cpp:63
Source/HeavensDivide/AttackProjectileBase.cpp:163</x:v>
      </x:c>
    </x:row>
    <x:row r="93" ht="51" customHeight="1">
      <x:c r="A93" s="6" t="str">
        <x:v>Barrage</x:v>
      </x:c>
      <x:c r="B93" s="6" t="str">
        <x:v>Critical Strike</x:v>
      </x:c>
      <x:c r="C93" s="6" t="str">
        <x:v>BarrageCritical</x:v>
      </x:c>
      <x:c r="D93" s="13" t="n">
        <x:v>1</x:v>
      </x:c>
      <x:c r="E93" s="6" t="str">
        <x:v>Common (fixed)</x:v>
      </x:c>
      <x:c r="F93" s="6" t="str">
        <x:v>Level-up</x:v>
      </x:c>
      <x:c r="G93" s="6" t="str">
        <x:v>Kunai hits have a 15% chance to deal double damage. Poison inherits the increased hit damage.</x:v>
      </x:c>
      <x:c r="H93" s="6" t="str"/>
      <x:c r="I93" s="6" t="str">
        <x:v>BarrageStance</x:v>
      </x:c>
      <x:c r="J93" s="6" t="str">
        <x:v>Active</x:v>
      </x:c>
      <x:c r="K93" s="6" t="str">
        <x:v>/Game/HeavensDivide/Upgrades/Ninja/DA_Upgrade_NinjaBarrageCritical
Source/HeavensDivide/AttackProjectileBase.cpp:284</x:v>
      </x:c>
    </x:row>
    <x:row r="94" ht="77" customHeight="1">
      <x:c r="A94" s="6" t="str">
        <x:v>Barrage</x:v>
      </x:c>
      <x:c r="B94" s="6" t="str">
        <x:v>Forked Blades</x:v>
      </x:c>
      <x:c r="C94" s="6" t="str">
        <x:v>ForkingProjectiles</x:v>
      </x:c>
      <x:c r="D94" s="13" t="n">
        <x:v>1</x:v>
      </x:c>
      <x:c r="E94" s="6" t="str">
        <x:v>Common (fixed)</x:v>
      </x:c>
      <x:c r="F94" s="6" t="str">
        <x:v>Level-up</x:v>
      </x:c>
      <x:c r="G94" s="6" t="str">
        <x:v>15% chance to split on impact into 2 poisoned kunai at 50% damage. Split kunai cannot split again.</x:v>
      </x:c>
      <x:c r="H94" s="6" t="str">
        <x:v>Two half-damage poisoned children; cannot recursively split. With Serpent's Procession, unlock instead adds 3 percentage points of bounce retention.</x:v>
      </x:c>
      <x:c r="I94" s="6" t="str">
        <x:v>BarrageStance</x:v>
      </x:c>
      <x:c r="J94" s="6" t="str">
        <x:v>Active</x:v>
      </x:c>
      <x:c r="K94" s="6" t="str">
        <x:v>/Game/HeavensDivide/Upgrades/Ninja/DA_Upgrade_NinjaForkingProjectiles
Source/HeavensDivide/AttackProjectileBase.cpp:305
Source/HeavensDivide/AutoAttackComponent.cpp:1361
Source/HeavensDivide/BarrageBuild.cpp:5</x:v>
      </x:c>
    </x:row>
    <x:row r="95" ht="51" customHeight="1">
      <x:c r="A95" s="6" t="str">
        <x:v>Barrage</x:v>
      </x:c>
      <x:c r="B95" s="6" t="str">
        <x:v>Needle Rain</x:v>
      </x:c>
      <x:c r="C95" s="6" t="str">
        <x:v>NeedleRain</x:v>
      </x:c>
      <x:c r="D95" s="13" t="n">
        <x:v>1</x:v>
      </x:c>
      <x:c r="E95" s="6" t="str">
        <x:v>Common (fixed)</x:v>
      </x:c>
      <x:c r="F95" s="6" t="str">
        <x:v>Level-up</x:v>
      </x:c>
      <x:c r="G95" s="6" t="str">
        <x:v>Every fourth attack fires twice as many kunai.</x:v>
      </x:c>
      <x:c r="H95" s="6" t="str"/>
      <x:c r="I95" s="6" t="str">
        <x:v>BarrageStance</x:v>
      </x:c>
      <x:c r="J95" s="6" t="str">
        <x:v>Active</x:v>
      </x:c>
      <x:c r="K95" s="6" t="str">
        <x:v>/Game/HeavensDivide/Upgrades/Ninja/DA_Upgrade_NinjaNeedleRain
Source/HeavensDivide/NinjaBuildComponent.cpp:314
Source/HeavensDivide/BarrageBuild.cpp:5</x:v>
      </x:c>
    </x:row>
    <x:row r="96" ht="51" customHeight="1">
      <x:c r="A96" s="6" t="str">
        <x:v>Barrage</x:v>
      </x:c>
      <x:c r="B96" s="6" t="str">
        <x:v>Samurai Assist</x:v>
      </x:c>
      <x:c r="C96" s="6" t="str">
        <x:v>BarrageAssist</x:v>
      </x:c>
      <x:c r="D96" s="13" t="n">
        <x:v>1</x:v>
      </x:c>
      <x:c r="E96" s="6" t="str">
        <x:v>Common (fixed)</x:v>
      </x:c>
      <x:c r="F96" s="6" t="str">
        <x:v>Level-up</x:v>
      </x:c>
      <x:c r="G96" s="6" t="str">
        <x:v>Each attack has a 5% chance to call a Samurai assist.</x:v>
      </x:c>
      <x:c r="H96" s="6" t="str"/>
      <x:c r="I96" s="6" t="str">
        <x:v>BarrageStance</x:v>
      </x:c>
      <x:c r="J96" s="6" t="str">
        <x:v>Active</x:v>
      </x:c>
      <x:c r="K96" s="6" t="str">
        <x:v>/Game/HeavensDivide/Upgrades/Ninja/DA_Upgrade_NinjaBarrageAssist
Source/HeavensDivide/AutoAttackComponent.cpp:345</x:v>
      </x:c>
    </x:row>
    <x:row r="97" ht="51" customHeight="1">
      <x:c r="A97" s="6" t="str">
        <x:v>Barrage</x:v>
      </x:c>
      <x:c r="B97" s="6" t="str">
        <x:v>Toxic Ground</x:v>
      </x:c>
      <x:c r="C97" s="6" t="str">
        <x:v>BarragePool</x:v>
      </x:c>
      <x:c r="D97" s="13" t="n">
        <x:v>1</x:v>
      </x:c>
      <x:c r="E97" s="6" t="str">
        <x:v>Common (fixed)</x:v>
      </x:c>
      <x:c r="F97" s="6" t="str">
        <x:v>Level-up</x:v>
      </x:c>
      <x:c r="G97" s="6" t="str">
        <x:v>Kunai-poisoned kills leave a 3s puddle, applying poison every 0.5s at the victim's stack strength. Puddle poison cannot spread puddles.</x:v>
      </x:c>
      <x:c r="H97" s="6" t="str">
        <x:v>Average damage per victim stack seeds one stack per 0.5 s pulse, for 3 s. Pure puddle poison deaths cannot seed new puddles.</x:v>
      </x:c>
      <x:c r="I97" s="6" t="str">
        <x:v>BarrageStance</x:v>
      </x:c>
      <x:c r="J97" s="6" t="str">
        <x:v>Active</x:v>
      </x:c>
      <x:c r="K97" s="6" t="str">
        <x:v>/Game/HeavensDivide/Upgrades/Ninja/DA_Upgrade_NinjaBarragePool
Source/HeavensDivide/BarragePoison.cpp:43
Source/HeavensDivide/BarragePoisonPool.cpp:32</x:v>
      </x:c>
    </x:row>
    <x:row r="98" ht="38" customHeight="1">
      <x:c r="A98" s="6" t="str">
        <x:v>Barrage</x:v>
      </x:c>
      <x:c r="B98" s="6" t="str">
        <x:v>Viper's Rush</x:v>
      </x:c>
      <x:c r="C98" s="6" t="str">
        <x:v>BarrageRush</x:v>
      </x:c>
      <x:c r="D98" s="13" t="n">
        <x:v>1</x:v>
      </x:c>
      <x:c r="E98" s="6" t="str">
        <x:v>Common (fixed)</x:v>
      </x:c>
      <x:c r="F98" s="6" t="str">
        <x:v>Level-up</x:v>
      </x:c>
      <x:c r="G98" s="6" t="str">
        <x:v>Poisoned kills grant +20% movement speed for 3s. Further kills refresh it.</x:v>
      </x:c>
      <x:c r="H98" s="6" t="str"/>
      <x:c r="I98" s="6" t="str">
        <x:v>BarrageStance</x:v>
      </x:c>
      <x:c r="J98" s="6" t="str">
        <x:v>Active</x:v>
      </x:c>
      <x:c r="K98" s="6" t="str">
        <x:v>/Game/HeavensDivide/Upgrades/Ninja/DA_Upgrade_NinjaBarrageRush
Source/HeavensDivide/BarragePoison.cpp:41</x:v>
      </x:c>
    </x:row>
    <x:row r="99" ht="38" customHeight="1">
      <x:c r="A99" s="6" t="str">
        <x:v>Barrage</x:v>
      </x:c>
      <x:c r="B99" s="6" t="str">
        <x:v>Attack Speed</x:v>
      </x:c>
      <x:c r="C99" s="6" t="str">
        <x:v>BarrageSpeed</x:v>
      </x:c>
      <x:c r="D99" s="13" t="n">
        <x:v>5</x:v>
      </x:c>
      <x:c r="E99" s="6" t="str">
        <x:v>Common / Rare / Epic</x:v>
      </x:c>
      <x:c r="F99" s="6" t="str">
        <x:v>Level-up</x:v>
      </x:c>
      <x:c r="G99" s="6" t="str">
        <x:v>Attack 10% faster.</x:v>
      </x:c>
      <x:c r="H99" s="6" t="str">
        <x:v>Uses rolled 10/15/20%, not the 15% generic fallback.</x:v>
      </x:c>
      <x:c r="I99" s="6" t="str">
        <x:v>BarrageStance</x:v>
      </x:c>
      <x:c r="J99" s="6" t="str">
        <x:v>Active</x:v>
      </x:c>
      <x:c r="K99" s="6" t="str">
        <x:v>/Game/HeavensDivide/Upgrades/Ninja/DA_Upgrade_NinjaBarrageSpeed
Source/HeavensDivide/AutoAttackComponent.cpp:1243</x:v>
      </x:c>
    </x:row>
    <x:row r="100" ht="51" customHeight="1">
      <x:c r="A100" s="6" t="str">
        <x:v>Barrage</x:v>
      </x:c>
      <x:c r="B100" s="6" t="str">
        <x:v>Branching Blades</x:v>
      </x:c>
      <x:c r="C100" s="6" t="str">
        <x:v>BarrageSplitChance</x:v>
      </x:c>
      <x:c r="D100" s="13" t="n">
        <x:v>5</x:v>
      </x:c>
      <x:c r="E100" s="6" t="str">
        <x:v>Rare (fixed)</x:v>
      </x:c>
      <x:c r="F100" s="6" t="str">
        <x:v>Level-up</x:v>
      </x:c>
      <x:c r="G100" s="6" t="str">
        <x:v>+10% kunai split chance.</x:v>
      </x:c>
      <x:c r="H100" s="6" t="str">
        <x:v>15% base + 10 points/rank = 65%. Under Procession each rank adds 2 points of bounce retention.</x:v>
      </x:c>
      <x:c r="I100" s="6" t="str">
        <x:v>BarrageStance; ForkingProjectiles</x:v>
      </x:c>
      <x:c r="J100" s="6" t="str">
        <x:v>Active</x:v>
      </x:c>
      <x:c r="K100" s="6" t="str">
        <x:v>/Game/HeavensDivide/Upgrades/Ninja/DA_Upgrade_NinjaBarrageSplitChance
Source/HeavensDivide/BarrageBuild.cpp:15</x:v>
      </x:c>
    </x:row>
    <x:row r="101" ht="51" customHeight="1">
      <x:c r="A101" s="6" t="str">
        <x:v>Barrage</x:v>
      </x:c>
      <x:c r="B101" s="6" t="str">
        <x:v>Critical Precision</x:v>
      </x:c>
      <x:c r="C101" s="6" t="str">
        <x:v>BarrageCriticalChance</x:v>
      </x:c>
      <x:c r="D101" s="13" t="n">
        <x:v>5</x:v>
      </x:c>
      <x:c r="E101" s="6" t="str">
        <x:v>Rare (fixed)</x:v>
      </x:c>
      <x:c r="F101" s="6" t="str">
        <x:v>Level-up</x:v>
      </x:c>
      <x:c r="G101" s="6" t="str">
        <x:v>Kunai gain 10% critical strike chance.</x:v>
      </x:c>
      <x:c r="H101" s="6" t="str">
        <x:v>Base 15% + 10 percentage points/rank = 65% at rank 5.</x:v>
      </x:c>
      <x:c r="I101" s="6" t="str">
        <x:v>BarrageStance; BarrageCritical</x:v>
      </x:c>
      <x:c r="J101" s="6" t="str">
        <x:v>Active</x:v>
      </x:c>
      <x:c r="K101" s="6" t="str">
        <x:v>/Game/HeavensDivide/Upgrades/Ninja/DA_Upgrade_NinjaBarrageCriticalChance
Source/HeavensDivide/AttackProjectileBase.cpp:284</x:v>
      </x:c>
    </x:row>
    <x:row r="102" ht="51" customHeight="1">
      <x:c r="A102" s="6" t="str">
        <x:v>Barrage</x:v>
      </x:c>
      <x:c r="B102" s="6" t="str">
        <x:v>Deep Venom</x:v>
      </x:c>
      <x:c r="C102" s="6" t="str">
        <x:v>BarragePoisonCap</x:v>
      </x:c>
      <x:c r="D102" s="13" t="n">
        <x:v>5</x:v>
      </x:c>
      <x:c r="E102" s="6" t="str">
        <x:v>Rare (fixed)</x:v>
      </x:c>
      <x:c r="F102" s="6" t="str">
        <x:v>Level-up</x:v>
      </x:c>
      <x:c r="G102" s="6" t="str">
        <x:v>Enemies can hold 4 additional poison stacks.</x:v>
      </x:c>
      <x:c r="H102" s="6" t="str">
        <x:v>Base 20 to 40 stacks at rank 5. New applications stop adding tick damage when capped, but refresh duration.</x:v>
      </x:c>
      <x:c r="I102" s="6" t="str">
        <x:v>BarrageStance</x:v>
      </x:c>
      <x:c r="J102" s="6" t="str">
        <x:v>Active</x:v>
      </x:c>
      <x:c r="K102" s="6" t="str">
        <x:v>/Game/HeavensDivide/Upgrades/Ninja/DA_Upgrade_NinjaBarragePoisonCap
Source/HeavensDivide/BarragePoison.cpp:20</x:v>
      </x:c>
    </x:row>
    <x:row r="103" ht="51" customHeight="1">
      <x:c r="A103" s="6" t="str">
        <x:v>Barrage</x:v>
      </x:c>
      <x:c r="B103" s="6" t="str">
        <x:v>Kunai Damage</x:v>
      </x:c>
      <x:c r="C103" s="6" t="str">
        <x:v>BarrageDamage</x:v>
      </x:c>
      <x:c r="D103" s="13" t="n">
        <x:v>5</x:v>
      </x:c>
      <x:c r="E103" s="6" t="str">
        <x:v>Common / Rare / Epic</x:v>
      </x:c>
      <x:c r="F103" s="6" t="str">
        <x:v>Level-up</x:v>
      </x:c>
      <x:c r="G103" s="6" t="str">
        <x:v>Kunai deal 20% more damage.</x:v>
      </x:c>
      <x:c r="H103" s="6" t="str">
        <x:v>Uses accumulated rolled 20/30/40% magnitude; no saved PerRank key is needed. Poison inherits larger applying-hit damage.</x:v>
      </x:c>
      <x:c r="I103" s="6" t="str">
        <x:v>BarrageStance</x:v>
      </x:c>
      <x:c r="J103" s="6" t="str">
        <x:v>Active</x:v>
      </x:c>
      <x:c r="K103" s="6" t="str">
        <x:v>/Game/HeavensDivide/Upgrades/Ninja/DA_Upgrade_NinjaBarrageDamage
Source/HeavensDivide/AutoAttackComponent.cpp:1265</x:v>
      </x:c>
    </x:row>
    <x:row r="104" ht="38" customHeight="1">
      <x:c r="A104" s="6" t="str">
        <x:v>Barrage</x:v>
      </x:c>
      <x:c r="B104" s="6" t="str">
        <x:v>Kunai Reach</x:v>
      </x:c>
      <x:c r="C104" s="6" t="str">
        <x:v>BarrageRange</x:v>
      </x:c>
      <x:c r="D104" s="13" t="n">
        <x:v>5</x:v>
      </x:c>
      <x:c r="E104" s="6" t="str">
        <x:v>Common / Rare / Epic</x:v>
      </x:c>
      <x:c r="F104" s="6" t="str">
        <x:v>Level-up</x:v>
      </x:c>
      <x:c r="G104" s="6" t="str">
        <x:v>Kunai travel 15% farther.</x:v>
      </x:c>
      <x:c r="H104" s="6" t="str"/>
      <x:c r="I104" s="6" t="str">
        <x:v>BarrageStance</x:v>
      </x:c>
      <x:c r="J104" s="6" t="str">
        <x:v>Active</x:v>
      </x:c>
      <x:c r="K104" s="6" t="str">
        <x:v>/Game/HeavensDivide/Upgrades/Ninja/DA_Upgrade_NinjaBarrageRange
Source/HeavensDivide/BarrageBuild.cpp:17</x:v>
      </x:c>
    </x:row>
    <x:row r="105" ht="51" customHeight="1">
      <x:c r="A105" s="6" t="str">
        <x:v>Barrage</x:v>
      </x:c>
      <x:c r="B105" s="6" t="str">
        <x:v>Lingering Venom</x:v>
      </x:c>
      <x:c r="C105" s="6" t="str">
        <x:v>BarragePoisonDuration</x:v>
      </x:c>
      <x:c r="D105" s="13" t="n">
        <x:v>3</x:v>
      </x:c>
      <x:c r="E105" s="6" t="str">
        <x:v>Common (fixed)</x:v>
      </x:c>
      <x:c r="F105" s="6" t="str">
        <x:v>Level-up</x:v>
      </x:c>
      <x:c r="G105" s="6" t="str">
        <x:v>Poison lasts 1s longer per rank, dealing damage at the same rate.</x:v>
      </x:c>
      <x:c r="H105" s="6" t="str">
        <x:v>5 to 8 s at rank 3; per-tick damage unchanged. Stack refreshes extend all stored poison.</x:v>
      </x:c>
      <x:c r="I105" s="6" t="str">
        <x:v>BarrageStance</x:v>
      </x:c>
      <x:c r="J105" s="6" t="str">
        <x:v>Active</x:v>
      </x:c>
      <x:c r="K105" s="6" t="str">
        <x:v>/Game/HeavensDivide/Upgrades/Ninja/DA_Upgrade_NinjaBarragePoisonDuration
Source/HeavensDivide/BarragePoison.cpp:28</x:v>
      </x:c>
    </x:row>
    <x:row r="106" ht="51" customHeight="1">
      <x:c r="A106" s="6" t="str">
        <x:v>Barrage</x:v>
      </x:c>
      <x:c r="B106" s="6" t="str">
        <x:v>Reinforcements</x:v>
      </x:c>
      <x:c r="C106" s="6" t="str">
        <x:v>BarrageAssistChance</x:v>
      </x:c>
      <x:c r="D106" s="13" t="n">
        <x:v>5</x:v>
      </x:c>
      <x:c r="E106" s="6" t="str">
        <x:v>Rare (fixed)</x:v>
      </x:c>
      <x:c r="F106" s="6" t="str">
        <x:v>Level-up</x:v>
      </x:c>
      <x:c r="G106" s="6" t="str">
        <x:v>Gain 5% chance to call a Samurai assist.</x:v>
      </x:c>
      <x:c r="H106" s="6" t="str">
        <x:v>Base 5% + 5 percentage points/rank = 30% at rank 5.</x:v>
      </x:c>
      <x:c r="I106" s="6" t="str">
        <x:v>BarrageStance; BarrageAssist</x:v>
      </x:c>
      <x:c r="J106" s="6" t="str">
        <x:v>Active</x:v>
      </x:c>
      <x:c r="K106" s="6" t="str">
        <x:v>/Game/HeavensDivide/Upgrades/Ninja/DA_Upgrade_NinjaBarrageAssistChance
Source/HeavensDivide/AutoAttackComponent.cpp:345</x:v>
      </x:c>
    </x:row>
    <x:row r="107" ht="51" customHeight="1">
      <x:c r="A107" s="6" t="str">
        <x:v>Barrage</x:v>
      </x:c>
      <x:c r="B107" s="6" t="str">
        <x:v>Relentless Rain</x:v>
      </x:c>
      <x:c r="C107" s="6" t="str">
        <x:v>BarrageRainFrequency</x:v>
      </x:c>
      <x:c r="D107" s="13" t="n">
        <x:v>3</x:v>
      </x:c>
      <x:c r="E107" s="6" t="str">
        <x:v>Rare (fixed)</x:v>
      </x:c>
      <x:c r="F107" s="6" t="str">
        <x:v>Level-up</x:v>
      </x:c>
      <x:c r="G107" s="6" t="str">
        <x:v>Needle Rain requires 1 fewer attack, down to every attack.</x:v>
      </x:c>
      <x:c r="H107" s="6" t="str">
        <x:v>Base every fourth attack/launch; ranks 1/2/3 reduce cadence to every third/second/first. Effective cap min(card cap, global cadence cap=3).</x:v>
      </x:c>
      <x:c r="I107" s="6" t="str">
        <x:v>BarrageStance; NeedleRain</x:v>
      </x:c>
      <x:c r="J107" s="6" t="str">
        <x:v>Active</x:v>
      </x:c>
      <x:c r="K107" s="6" t="str">
        <x:v>/Game/HeavensDivide/Upgrades/Ninja/DA_Upgrade_NinjaBarrageRainFrequency
Source/HeavensDivide/NinjaBuildComponent.cpp:314</x:v>
      </x:c>
    </x:row>
    <x:row r="108" ht="51" customHeight="1">
      <x:c r="A108" s="6" t="str">
        <x:v>Barrage</x:v>
      </x:c>
      <x:c r="B108" s="6" t="str">
        <x:v>Spreading Blight</x:v>
      </x:c>
      <x:c r="C108" s="6" t="str">
        <x:v>BarragePoolRadius</x:v>
      </x:c>
      <x:c r="D108" s="13" t="n">
        <x:v>5</x:v>
      </x:c>
      <x:c r="E108" s="6" t="str">
        <x:v>Rare (fixed)</x:v>
      </x:c>
      <x:c r="F108" s="6" t="str">
        <x:v>Level-up</x:v>
      </x:c>
      <x:c r="G108" s="6" t="str">
        <x:v>Poison puddles have 20% more radius.</x:v>
      </x:c>
      <x:c r="H108" s="6" t="str">
        <x:v>220 to 440 cm at rank 5, additionally multiplied by permanent Barrage coverage. Also applies to Venom Bloom.</x:v>
      </x:c>
      <x:c r="I108" s="6" t="str">
        <x:v>BarrageStance; BarragePool</x:v>
      </x:c>
      <x:c r="J108" s="6" t="str">
        <x:v>Active</x:v>
      </x:c>
      <x:c r="K108" s="6" t="str">
        <x:v>/Game/HeavensDivide/Upgrades/Ninja/DA_Upgrade_NinjaBarragePoolRadius
Source/HeavensDivide/BarragePoisonPool.cpp:32</x:v>
      </x:c>
    </x:row>
    <x:row r="109" ht="51" customHeight="1">
      <x:c r="A109" s="6" t="str">
        <x:v>Barrage</x:v>
      </x:c>
      <x:c r="B109" s="6" t="str">
        <x:v>Venom Load</x:v>
      </x:c>
      <x:c r="C109" s="6" t="str">
        <x:v>BarragePoisonLoad</x:v>
      </x:c>
      <x:c r="D109" s="13" t="n">
        <x:v>3</x:v>
      </x:c>
      <x:c r="E109" s="6" t="str">
        <x:v>Common (fixed)</x:v>
      </x:c>
      <x:c r="F109" s="6" t="str">
        <x:v>Level-up</x:v>
      </x:c>
      <x:c r="G109" s="6" t="str">
        <x:v>Each kunai hit applies 1 additional poison stack per rank.</x:v>
      </x:c>
      <x:c r="H109" s="6" t="str">
        <x:v>Saved +1 per rank; max rank 3 gives 4 stacks/hit. The C++ fallback is +2 but is overridden.</x:v>
      </x:c>
      <x:c r="I109" s="6" t="str">
        <x:v>BarrageStance</x:v>
      </x:c>
      <x:c r="J109" s="6" t="str">
        <x:v>Active</x:v>
      </x:c>
      <x:c r="K109" s="6" t="str">
        <x:v>/Game/HeavensDivide/Upgrades/Ninja/DA_Upgrade_NinjaBarragePoisonLoad
Source/HeavensDivide/BarragePoison.cpp:21</x:v>
      </x:c>
    </x:row>
    <x:row r="110" ht="64" customHeight="1">
      <x:c r="A110" s="6" t="str">
        <x:v>Barrage</x:v>
      </x:c>
      <x:c r="B110" s="6" t="str">
        <x:v>Point-Blank Barrage</x:v>
      </x:c>
      <x:c r="C110" s="6" t="str">
        <x:v>BarragePointBlank</x:v>
      </x:c>
      <x:c r="D110" s="13" t="n">
        <x:v>1</x:v>
      </x:c>
      <x:c r="E110" s="6" t="str">
        <x:v>Rare (fixed)</x:v>
      </x:c>
      <x:c r="F110" s="6" t="str">
        <x:v>Blood Shrine</x:v>
      </x:c>
      <x:c r="G110" s="6" t="str">
        <x:v>Gain 50% attack speed, but kunai travel 70% less distance.</x:v>
      </x:c>
      <x:c r="H110" s="6" t="str">
        <x:v>Attack rate x1.5, range x0.3. Multiplies stance attack speed and normal range upgrades.</x:v>
      </x:c>
      <x:c r="I110" s="6" t="str">
        <x:v>BarrageStance</x:v>
      </x:c>
      <x:c r="J110" s="6" t="str">
        <x:v>Active</x:v>
      </x:c>
      <x:c r="K110" s="6" t="str">
        <x:v>/Game/HeavensDivide/Upgrades/Ninja/DA_Upgrade_NinjaBarragePointBlank
Source/HeavensDivide/AutoAttackComponent.cpp:1245
Source/HeavensDivide/BarrageBuild.cpp:7</x:v>
      </x:c>
    </x:row>
    <x:row r="111" ht="77" customHeight="1">
      <x:c r="A111" s="6" t="str">
        <x:v>Barrage</x:v>
      </x:c>
      <x:c r="B111" s="6" t="str">
        <x:v>Serpent's Procession</x:v>
      </x:c>
      <x:c r="C111" s="6" t="str">
        <x:v>BarrageProcession</x:v>
      </x:c>
      <x:c r="D111" s="13" t="n">
        <x:v>1</x:v>
      </x:c>
      <x:c r="E111" s="6" t="str">
        <x:v>Rare (fixed)</x:v>
      </x:c>
      <x:c r="F111" s="6" t="str">
        <x:v>Blood Shrine</x:v>
      </x:c>
      <x:c r="G111" s="6" t="str">
        <x:v>Fire kunai in a line, bouncing to 3 more foes and losing 25% damage per bounce. No splitting; split upgrades reduce this damage loss.</x:v>
      </x:c>
      <x:c r="H111" s="6" t="str">
        <x:v>Three extra ricochets; retention 75% + split chance x0.2 (up to 88% at max split ranks). Split mechanic becomes retention, not extra children.</x:v>
      </x:c>
      <x:c r="I111" s="6" t="str">
        <x:v>BarrageStance</x:v>
      </x:c>
      <x:c r="J111" s="6" t="str">
        <x:v>Active</x:v>
      </x:c>
      <x:c r="K111" s="6" t="str">
        <x:v>/Game/HeavensDivide/Upgrades/Ninja/DA_Upgrade_NinjaBarrageProcession
Source/HeavensDivide/AttackProjectileBase.cpp:173
Source/HeavensDivide/NinjaBuildComponent.cpp:315
Source/HeavensDivide/AutoAttackComponent.cpp:353</x:v>
      </x:c>
    </x:row>
    <x:row r="112" ht="51" customHeight="1">
      <x:c r="A112" s="6" t="str">
        <x:v>Barrage</x:v>
      </x:c>
      <x:c r="B112" s="6" t="str">
        <x:v>Venom Bloom</x:v>
      </x:c>
      <x:c r="C112" s="6" t="str">
        <x:v>BarrageBloom</x:v>
      </x:c>
      <x:c r="D112" s="13" t="n">
        <x:v>1</x:v>
      </x:c>
      <x:c r="E112" s="6" t="str">
        <x:v>Rare (fixed)</x:v>
      </x:c>
      <x:c r="F112" s="6" t="str">
        <x:v>Blood Shrine</x:v>
      </x:c>
      <x:c r="G112" s="6" t="str">
        <x:v>Puddles stop applying poison. Every 0.5s, they deal 10% of each foe's remaining poison damage without consuming it.</x:v>
      </x:c>
      <x:c r="H112" s="6" t="str">
        <x:v>Puddles deal 10% remaining poison budget every 0.5 s without consuming it. Stops puddle poison application. Six pulses per base puddle.</x:v>
      </x:c>
      <x:c r="I112" s="6" t="str">
        <x:v>BarrageStance; BarragePool</x:v>
      </x:c>
      <x:c r="J112" s="6" t="str">
        <x:v>Active</x:v>
      </x:c>
      <x:c r="K112" s="6" t="str">
        <x:v>/Game/HeavensDivide/Upgrades/Ninja/DA_Upgrade_NinjaBarrageBloom
Source/HeavensDivide/BarragePoisonPool.cpp:34
Source/HeavensDivide/BarrageBuild.cpp:7</x:v>
      </x:c>
    </x:row>
    <x:row r="113" ht="77" customHeight="1">
      <x:c r="A113" s="6" t="str">
        <x:v>Giant Shuriken</x:v>
      </x:c>
      <x:c r="B113" s="6" t="str">
        <x:v>Giant Shuriken Stance</x:v>
      </x:c>
      <x:c r="C113" s="6" t="str">
        <x:v>GreatShuriken</x:v>
      </x:c>
      <x:c r="D113" s="13" t="n">
        <x:v>1</x:v>
      </x:c>
      <x:c r="E113" s="6" t="str">
        <x:v>Rare (fixed)</x:v>
      </x:c>
      <x:c r="F113" s="6" t="str">
        <x:v>Starting loadout</x:v>
      </x:c>
      <x:c r="G113" s="6" t="str">
        <x:v>Throw piercing blades that hit repeatedly. +50% damage, -50% attack speed. Extra projectiles increase blade size.</x:v>
      </x:c>
      <x:c r="H113" s="6" t="str">
        <x:v>Saved blade radius 140 cm, speed 800 cm/s, lifetime 1.5 s, per-enemy contact interval 0.25 s. x1.5 damage, x0.5 throw rate.</x:v>
      </x:c>
      <x:c r="I113" s="6" t="str">
        <x:v>None
Exclusivity group: NinjaWeaponStance</x:v>
      </x:c>
      <x:c r="J113" s="6" t="str">
        <x:v>Active</x:v>
      </x:c>
      <x:c r="K113" s="6" t="str">
        <x:v>/Game/HeavensDivide/Upgrades/Ninja/DA_Upgrade_NinjaGreatShurikenStance
Source/HeavensDivide/PlayerUpgradeStats.cpp:126
Source/HeavensDivide/NinjaShurikenBuild.cpp:53
Source/HeavensDivide/NinjaBuildComponent.cpp:215</x:v>
      </x:c>
    </x:row>
    <x:row r="114" ht="64" customHeight="1">
      <x:c r="A114" s="6" t="str">
        <x:v>Giant Shuriken</x:v>
      </x:c>
      <x:c r="B114" s="6" t="str">
        <x:v>Breaking Wheel</x:v>
      </x:c>
      <x:c r="C114" s="6" t="str">
        <x:v>BreakingWheel</x:v>
      </x:c>
      <x:c r="D114" s="13" t="n">
        <x:v>1</x:v>
      </x:c>
      <x:c r="E114" s="6" t="str">
        <x:v>Common (fixed)</x:v>
      </x:c>
      <x:c r="F114" s="6" t="str">
        <x:v>Level-up</x:v>
      </x:c>
      <x:c r="G114" s="6" t="str">
        <x:v>When a blade expires, it releases a circular slash dealing 75% blade damage. Larger blades create larger slashes.</x:v>
      </x:c>
      <x:c r="H114" s="6" t="str">
        <x:v>Expiry burst uses current blade radius x2 and 75% base blade damage; shares Serrated Edge. Cannot recursively burst on kills.</x:v>
      </x:c>
      <x:c r="I114" s="6" t="str">
        <x:v>GreatShuriken</x:v>
      </x:c>
      <x:c r="J114" s="6" t="str">
        <x:v>Active</x:v>
      </x:c>
      <x:c r="K114" s="6" t="str">
        <x:v>/Game/HeavensDivide/Upgrades/Ninja/DA_Upgrade_NinjaBreakingWheel
Source/HeavensDivide/NinjaShurikenBuild.cpp:45
Source/HeavensDivide/ShurikenBuild.cpp:7</x:v>
      </x:c>
    </x:row>
    <x:row r="115" ht="51" customHeight="1">
      <x:c r="A115" s="6" t="str">
        <x:v>Giant Shuriken</x:v>
      </x:c>
      <x:c r="B115" s="6" t="str">
        <x:v>Grinding Halt</x:v>
      </x:c>
      <x:c r="C115" s="6" t="str">
        <x:v>GrindingHalt</x:v>
      </x:c>
      <x:c r="D115" s="13" t="n">
        <x:v>1</x:v>
      </x:c>
      <x:c r="E115" s="6" t="str">
        <x:v>Common (fixed)</x:v>
      </x:c>
      <x:c r="F115" s="6" t="str">
        <x:v>Level-up</x:v>
      </x:c>
      <x:c r="G115" s="6" t="str">
        <x:v>Each blade slows to 15% speed for 1 second on its first elite or boss hit.</x:v>
      </x:c>
      <x:c r="H115" s="6" t="str">
        <x:v>Slows the blade, not the enemy, once per blade on first elite/boss contact. Blade lifetime continues to expire.</x:v>
      </x:c>
      <x:c r="I115" s="6" t="str">
        <x:v>GreatShuriken</x:v>
      </x:c>
      <x:c r="J115" s="6" t="str">
        <x:v>Active</x:v>
      </x:c>
      <x:c r="K115" s="6" t="str">
        <x:v>/Game/HeavensDivide/Upgrades/Ninja/DA_Upgrade_NinjaGrindingHalt
Source/HeavensDivide/NinjaShurikenBuild.cpp:52
Source/HeavensDivide/ShurikenBuild.cpp:6</x:v>
      </x:c>
    </x:row>
    <x:row r="116" ht="51" customHeight="1">
      <x:c r="A116" s="6" t="str">
        <x:v>Giant Shuriken</x:v>
      </x:c>
      <x:c r="B116" s="6" t="str">
        <x:v>Growing Shuriken</x:v>
      </x:c>
      <x:c r="C116" s="6" t="str">
        <x:v>WideOrbit</x:v>
      </x:c>
      <x:c r="D116" s="13" t="n">
        <x:v>1</x:v>
      </x:c>
      <x:c r="E116" s="6" t="str">
        <x:v>Common (fixed)</x:v>
      </x:c>
      <x:c r="F116" s="6" t="str">
        <x:v>Level-up</x:v>
      </x:c>
      <x:c r="G116" s="6" t="str">
        <x:v>Blades grow throughout their lifetime, reaching twice their starting size.</x:v>
      </x:c>
      <x:c r="H116" s="6" t="str">
        <x:v>Growth uses elapsed age/lifetime, not distance. Radius reaches x2 starting size; saved GrowthDistance is unused (F04).</x:v>
      </x:c>
      <x:c r="I116" s="6" t="str">
        <x:v>GreatShuriken</x:v>
      </x:c>
      <x:c r="J116" s="6" t="str">
        <x:v>Active</x:v>
      </x:c>
      <x:c r="K116" s="6" t="str">
        <x:v>/Game/HeavensDivide/Upgrades/Ninja/DA_Upgrade_NinjaWideOrbit
Source/HeavensDivide/NinjaShurikenBuild.cpp:29
Source/HeavensDivide/ShurikenBuild.cpp:7</x:v>
      </x:c>
    </x:row>
    <x:row r="117" ht="51" customHeight="1">
      <x:c r="A117" s="6" t="str">
        <x:v>Giant Shuriken</x:v>
      </x:c>
      <x:c r="B117" s="6" t="str">
        <x:v>Samurai Assist</x:v>
      </x:c>
      <x:c r="C117" s="6" t="str">
        <x:v>ShurikenAssist</x:v>
      </x:c>
      <x:c r="D117" s="13" t="n">
        <x:v>1</x:v>
      </x:c>
      <x:c r="E117" s="6" t="str">
        <x:v>Common (fixed)</x:v>
      </x:c>
      <x:c r="F117" s="6" t="str">
        <x:v>Level-up</x:v>
      </x:c>
      <x:c r="G117" s="6" t="str">
        <x:v>Shuriken contact and burst kills have a 5% chance to call a Samurai assist.</x:v>
      </x:c>
      <x:c r="H117" s="6" t="str">
        <x:v>Only active main-player blades can call assists on contact/burst kills; clone and assist projectiles are excluded.</x:v>
      </x:c>
      <x:c r="I117" s="6" t="str">
        <x:v>GreatShuriken</x:v>
      </x:c>
      <x:c r="J117" s="6" t="str">
        <x:v>Active</x:v>
      </x:c>
      <x:c r="K117" s="6" t="str">
        <x:v>/Game/HeavensDivide/Upgrades/Ninja/DA_Upgrade_NinjaShurikenAssist
Source/HeavensDivide/NinjaShurikenBuild.cpp:72</x:v>
      </x:c>
    </x:row>
    <x:row r="118" ht="51" customHeight="1">
      <x:c r="A118" s="6" t="str">
        <x:v>Giant Shuriken</x:v>
      </x:c>
      <x:c r="B118" s="6" t="str">
        <x:v>Serrated Edge</x:v>
      </x:c>
      <x:c r="C118" s="6" t="str">
        <x:v>SerratedEdge</x:v>
      </x:c>
      <x:c r="D118" s="13" t="n">
        <x:v>1</x:v>
      </x:c>
      <x:c r="E118" s="6" t="str">
        <x:v>Common (fixed)</x:v>
      </x:c>
      <x:c r="F118" s="6" t="str">
        <x:v>Level-up</x:v>
      </x:c>
      <x:c r="G118" s="6" t="str">
        <x:v>Each blade gains +15% damage per contact hit against the same enemy, up to +75%. Bursts share this bonus.</x:v>
      </x:c>
      <x:c r="H118" s="6" t="str">
        <x:v>Per-blade/per-victim contact count. First hit unboosted; later hits gain +15%, capped +75%. Burst reads existing stacks.</x:v>
      </x:c>
      <x:c r="I118" s="6" t="str">
        <x:v>GreatShuriken</x:v>
      </x:c>
      <x:c r="J118" s="6" t="str">
        <x:v>Active</x:v>
      </x:c>
      <x:c r="K118" s="6" t="str">
        <x:v>/Game/HeavensDivide/Upgrades/Ninja/DA_Upgrade_NinjaSerratedEdge
Source/HeavensDivide/NinjaShurikenBuild.cpp:18
Source/HeavensDivide/ShurikenBuild.cpp:6</x:v>
      </x:c>
    </x:row>
    <x:row r="119" ht="38" customHeight="1">
      <x:c r="A119" s="6" t="str">
        <x:v>Giant Shuriken</x:v>
      </x:c>
      <x:c r="B119" s="6" t="str">
        <x:v>Twin Wheel</x:v>
      </x:c>
      <x:c r="C119" s="6" t="str">
        <x:v>ShurikenTwin</x:v>
      </x:c>
      <x:c r="D119" s="13" t="n">
        <x:v>1</x:v>
      </x:c>
      <x:c r="E119" s="6" t="str">
        <x:v>Common (fixed)</x:v>
      </x:c>
      <x:c r="F119" s="6" t="str">
        <x:v>Level-up</x:v>
      </x:c>
      <x:c r="G119" s="6" t="str">
        <x:v>Every fourth throw launches an additional shuriken.</x:v>
      </x:c>
      <x:c r="H119" s="6" t="str"/>
      <x:c r="I119" s="6" t="str">
        <x:v>GreatShuriken</x:v>
      </x:c>
      <x:c r="J119" s="6" t="str">
        <x:v>Active</x:v>
      </x:c>
      <x:c r="K119" s="6" t="str">
        <x:v>/Game/HeavensDivide/Upgrades/Ninja/DA_Upgrade_NinjaShurikenTwin
Source/HeavensDivide/NinjaBuildComponent.cpp:233</x:v>
      </x:c>
    </x:row>
    <x:row r="120" ht="51" customHeight="1">
      <x:c r="A120" s="6" t="str">
        <x:v>Giant Shuriken</x:v>
      </x:c>
      <x:c r="B120" s="6" t="str">
        <x:v>Attack Speed</x:v>
      </x:c>
      <x:c r="C120" s="6" t="str">
        <x:v>ShurikenSpeed</x:v>
      </x:c>
      <x:c r="D120" s="13" t="n">
        <x:v>5</x:v>
      </x:c>
      <x:c r="E120" s="6" t="str">
        <x:v>Common / Rare / Epic</x:v>
      </x:c>
      <x:c r="F120" s="6" t="str">
        <x:v>Level-up</x:v>
      </x:c>
      <x:c r="G120" s="6" t="str">
        <x:v>Throw shurikens 10% faster.</x:v>
      </x:c>
      <x:c r="H120" s="6" t="str">
        <x:v>Rolled 10/15/20% throw rate. Does not change blade travel speed or contact frequency. Saved PerRank=0.15 is bypassed while rolled rarity is enabled.</x:v>
      </x:c>
      <x:c r="I120" s="6" t="str">
        <x:v>GreatShuriken</x:v>
      </x:c>
      <x:c r="J120" s="6" t="str">
        <x:v>Active</x:v>
      </x:c>
      <x:c r="K120" s="6" t="str">
        <x:v>/Game/HeavensDivide/Upgrades/Ninja/DA_Upgrade_NinjaShurikenSpeed
Source/HeavensDivide/AutoAttackComponent.cpp:1243</x:v>
      </x:c>
    </x:row>
    <x:row r="121" ht="51" customHeight="1">
      <x:c r="A121" s="6" t="str">
        <x:v>Giant Shuriken</x:v>
      </x:c>
      <x:c r="B121" s="6" t="str">
        <x:v>Cutting Tempo</x:v>
      </x:c>
      <x:c r="C121" s="6" t="str">
        <x:v>ShurikenTempo</x:v>
      </x:c>
      <x:c r="D121" s="13" t="n">
        <x:v>5</x:v>
      </x:c>
      <x:c r="E121" s="6" t="str">
        <x:v>Common (fixed)</x:v>
      </x:c>
      <x:c r="F121" s="6" t="str">
        <x:v>Level-up</x:v>
      </x:c>
      <x:c r="G121" s="6" t="str">
        <x:v>Increase contact hit and pulse frequency by 15% per rank.</x:v>
      </x:c>
      <x:c r="H121" s="6" t="str">
        <x:v>Contact interval 0.25/(1+bonus), minimum 0.05 s. Pulse interval 1/(1+bonus), minimum 0.2 s; both include permanent tempo.</x:v>
      </x:c>
      <x:c r="I121" s="6" t="str">
        <x:v>GreatShuriken</x:v>
      </x:c>
      <x:c r="J121" s="6" t="str">
        <x:v>Active</x:v>
      </x:c>
      <x:c r="K121" s="6" t="str">
        <x:v>/Game/HeavensDivide/Upgrades/Ninja/DA_Upgrade_NinjaShurikenTempo
Source/HeavensDivide/ShurikenBuild.cpp:12</x:v>
      </x:c>
    </x:row>
    <x:row r="122" ht="51" customHeight="1">
      <x:c r="A122" s="6" t="str">
        <x:v>Giant Shuriken</x:v>
      </x:c>
      <x:c r="B122" s="6" t="str">
        <x:v>Deep Grooves</x:v>
      </x:c>
      <x:c r="C122" s="6" t="str">
        <x:v>ShurikenGrooves</x:v>
      </x:c>
      <x:c r="D122" s="13" t="n">
        <x:v>5</x:v>
      </x:c>
      <x:c r="E122" s="6" t="str">
        <x:v>Rare (fixed)</x:v>
      </x:c>
      <x:c r="F122" s="6" t="str">
        <x:v>Level-up</x:v>
      </x:c>
      <x:c r="G122" s="6" t="str">
        <x:v>Serrated Edge gains +3% damage per hit and +15% to its damage cap.</x:v>
      </x:c>
      <x:c r="H122" s="6" t="str">
        <x:v>At rank 5, +30% per contact and +150% bonus cap. First contact is still unboosted.</x:v>
      </x:c>
      <x:c r="I122" s="6" t="str">
        <x:v>GreatShuriken; SerratedEdge</x:v>
      </x:c>
      <x:c r="J122" s="6" t="str">
        <x:v>Active</x:v>
      </x:c>
      <x:c r="K122" s="6" t="str">
        <x:v>/Game/HeavensDivide/Upgrades/Ninja/DA_Upgrade_NinjaShurikenGrooves
Source/HeavensDivide/NinjaShurikenBuild.cpp:19</x:v>
      </x:c>
    </x:row>
    <x:row r="123" ht="64" customHeight="1">
      <x:c r="A123" s="6" t="str">
        <x:v>Giant Shuriken</x:v>
      </x:c>
      <x:c r="B123" s="6" t="str">
        <x:v>Lingering Shuriken</x:v>
      </x:c>
      <x:c r="C123" s="6" t="str">
        <x:v>LingeringShuriken</x:v>
      </x:c>
      <x:c r="D123" s="13" t="n">
        <x:v>3</x:v>
      </x:c>
      <x:c r="E123" s="6" t="str">
        <x:v>Common (fixed)</x:v>
      </x:c>
      <x:c r="F123" s="6" t="str">
        <x:v>Level-up</x:v>
      </x:c>
      <x:c r="G123" s="6" t="str">
        <x:v>Blades last 30% longer per rank.</x:v>
      </x:c>
      <x:c r="H123" s="6" t="str">
        <x:v>1.5 to 2.85 s at rank 3. Extends flight and growth time; no direct damage multiplier.</x:v>
      </x:c>
      <x:c r="I123" s="6" t="str">
        <x:v>GreatShuriken</x:v>
      </x:c>
      <x:c r="J123" s="6" t="str">
        <x:v>Active</x:v>
      </x:c>
      <x:c r="K123" s="6" t="str">
        <x:v>/Game/HeavensDivide/Upgrades/Ninja/DA_Upgrade_NinjaLingeringShuriken
Source/HeavensDivide/NinjaBuildComponent.cpp:249
Source/HeavensDivide/ShurikenBuild.cpp:7</x:v>
      </x:c>
    </x:row>
    <x:row r="124" ht="51" customHeight="1">
      <x:c r="A124" s="6" t="str">
        <x:v>Giant Shuriken</x:v>
      </x:c>
      <x:c r="B124" s="6" t="str">
        <x:v>Persistent Grind</x:v>
      </x:c>
      <x:c r="C124" s="6" t="str">
        <x:v>ShurikenGrindDuration</x:v>
      </x:c>
      <x:c r="D124" s="13" t="n">
        <x:v>5</x:v>
      </x:c>
      <x:c r="E124" s="6" t="str">
        <x:v>Rare (fixed)</x:v>
      </x:c>
      <x:c r="F124" s="6" t="str">
        <x:v>Level-up</x:v>
      </x:c>
      <x:c r="G124" s="6" t="str">
        <x:v>Grinding Halt lasts 0.2 seconds longer per rank.</x:v>
      </x:c>
      <x:c r="H124" s="6" t="str">
        <x:v>1 to 2 s slow at rank 5, but actual benefit is bounded by remaining blade lifetime. Late ranks need lifetime investment (F08).</x:v>
      </x:c>
      <x:c r="I124" s="6" t="str">
        <x:v>GreatShuriken; GrindingHalt</x:v>
      </x:c>
      <x:c r="J124" s="6" t="str">
        <x:v>Active</x:v>
      </x:c>
      <x:c r="K124" s="6" t="str">
        <x:v>/Game/HeavensDivide/Upgrades/Ninja/DA_Upgrade_NinjaShurikenGrindDuration
Source/HeavensDivide/NinjaShurikenBuild.cpp:66</x:v>
      </x:c>
    </x:row>
    <x:row r="125" ht="51" customHeight="1">
      <x:c r="A125" s="6" t="str">
        <x:v>Giant Shuriken</x:v>
      </x:c>
      <x:c r="B125" s="6" t="str">
        <x:v>Reinforcements</x:v>
      </x:c>
      <x:c r="C125" s="6" t="str">
        <x:v>ShurikenAssistChance</x:v>
      </x:c>
      <x:c r="D125" s="13" t="n">
        <x:v>5</x:v>
      </x:c>
      <x:c r="E125" s="6" t="str">
        <x:v>Rare (fixed)</x:v>
      </x:c>
      <x:c r="F125" s="6" t="str">
        <x:v>Level-up</x:v>
      </x:c>
      <x:c r="G125" s="6" t="str">
        <x:v>+5% chance to trigger Samurai Assist.</x:v>
      </x:c>
      <x:c r="H125" s="6" t="str">
        <x:v>Base 5% + 5 percentage points/rank = 30% at rank 5.</x:v>
      </x:c>
      <x:c r="I125" s="6" t="str">
        <x:v>GreatShuriken; ShurikenAssist</x:v>
      </x:c>
      <x:c r="J125" s="6" t="str">
        <x:v>Active</x:v>
      </x:c>
      <x:c r="K125" s="6" t="str">
        <x:v>/Game/HeavensDivide/Upgrades/Ninja/DA_Upgrade_NinjaShurikenAssistChance
Source/HeavensDivide/NinjaShurikenBuild.cpp:74</x:v>
      </x:c>
    </x:row>
    <x:row r="126" ht="51" customHeight="1">
      <x:c r="A126" s="6" t="str">
        <x:v>Giant Shuriken</x:v>
      </x:c>
      <x:c r="B126" s="6" t="str">
        <x:v>Shattering Force</x:v>
      </x:c>
      <x:c r="C126" s="6" t="str">
        <x:v>ShurikenBurstPower</x:v>
      </x:c>
      <x:c r="D126" s="13" t="n">
        <x:v>5</x:v>
      </x:c>
      <x:c r="E126" s="6" t="str">
        <x:v>Rare (fixed)</x:v>
      </x:c>
      <x:c r="F126" s="6" t="str">
        <x:v>Level-up</x:v>
      </x:c>
      <x:c r="G126" s="6" t="str">
        <x:v>Increase expiry slash and periodic burst damage by 15% per rank.</x:v>
      </x:c>
      <x:c r="H126" s="6" t="str"/>
      <x:c r="I126" s="6" t="str">
        <x:v>GreatShuriken; BreakingWheel</x:v>
      </x:c>
      <x:c r="J126" s="6" t="str">
        <x:v>Active</x:v>
      </x:c>
      <x:c r="K126" s="6" t="str">
        <x:v>/Game/HeavensDivide/Upgrades/Ninja/DA_Upgrade_NinjaShurikenBurstPower
Source/HeavensDivide/NinjaShurikenBuild.cpp:46</x:v>
      </x:c>
    </x:row>
    <x:row r="127" ht="51" customHeight="1">
      <x:c r="A127" s="6" t="str">
        <x:v>Giant Shuriken</x:v>
      </x:c>
      <x:c r="B127" s="6" t="str">
        <x:v>Shuriken Damage</x:v>
      </x:c>
      <x:c r="C127" s="6" t="str">
        <x:v>ShurikenDamage</x:v>
      </x:c>
      <x:c r="D127" s="13" t="n">
        <x:v>5</x:v>
      </x:c>
      <x:c r="E127" s="6" t="str">
        <x:v>Common / Rare / Epic</x:v>
      </x:c>
      <x:c r="F127" s="6" t="str">
        <x:v>Level-up</x:v>
      </x:c>
      <x:c r="G127" s="6" t="str">
        <x:v>Blades and bursts deal 20% more damage.</x:v>
      </x:c>
      <x:c r="H127" s="6" t="str"/>
      <x:c r="I127" s="6" t="str">
        <x:v>GreatShuriken</x:v>
      </x:c>
      <x:c r="J127" s="6" t="str">
        <x:v>Active</x:v>
      </x:c>
      <x:c r="K127" s="6" t="str">
        <x:v>/Game/HeavensDivide/Upgrades/Ninja/DA_Upgrade_NinjaShurikenDamage
Source/HeavensDivide/AutoAttackComponent.cpp:1265</x:v>
      </x:c>
    </x:row>
    <x:row r="128" ht="51" customHeight="1">
      <x:c r="A128" s="6" t="str">
        <x:v>Giant Shuriken</x:v>
      </x:c>
      <x:c r="B128" s="6" t="str">
        <x:v>Shuriken Size</x:v>
      </x:c>
      <x:c r="C128" s="6" t="str">
        <x:v>ShurikenSize</x:v>
      </x:c>
      <x:c r="D128" s="13" t="n">
        <x:v>5</x:v>
      </x:c>
      <x:c r="E128" s="6" t="str">
        <x:v>Common / Rare / Epic</x:v>
      </x:c>
      <x:c r="F128" s="6" t="str">
        <x:v>Level-up</x:v>
      </x:c>
      <x:c r="G128" s="6" t="str">
        <x:v>Blades and their bursts are 15% larger.</x:v>
      </x:c>
      <x:c r="H128" s="6" t="str"/>
      <x:c r="I128" s="6" t="str">
        <x:v>GreatShuriken</x:v>
      </x:c>
      <x:c r="J128" s="6" t="str">
        <x:v>Active</x:v>
      </x:c>
      <x:c r="K128" s="6" t="str">
        <x:v>/Game/HeavensDivide/Upgrades/Ninja/DA_Upgrade_NinjaShurikenSize
Source/HeavensDivide/NinjaShurikenBuild.cpp:34
Source/HeavensDivide/NinjaBuildComponent.cpp:275</x:v>
      </x:c>
    </x:row>
    <x:row r="129" ht="51" customHeight="1">
      <x:c r="A129" s="6" t="str">
        <x:v>Giant Shuriken</x:v>
      </x:c>
      <x:c r="B129" s="6" t="str">
        <x:v>Twin Frequency</x:v>
      </x:c>
      <x:c r="C129" s="6" t="str">
        <x:v>ShurikenTwinFrequency</x:v>
      </x:c>
      <x:c r="D129" s="13" t="n">
        <x:v>3</x:v>
      </x:c>
      <x:c r="E129" s="6" t="str">
        <x:v>Rare (fixed)</x:v>
      </x:c>
      <x:c r="F129" s="6" t="str">
        <x:v>Level-up</x:v>
      </x:c>
      <x:c r="G129" s="6" t="str">
        <x:v>Twin Wheel requires 1 fewer throw, down to every throw.</x:v>
      </x:c>
      <x:c r="H129" s="6" t="str">
        <x:v>Base every fourth attack/launch; ranks 1/2/3 reduce cadence to every third/second/first. Effective cap min(card cap, global cadence cap=3).</x:v>
      </x:c>
      <x:c r="I129" s="6" t="str">
        <x:v>GreatShuriken; ShurikenTwin</x:v>
      </x:c>
      <x:c r="J129" s="6" t="str">
        <x:v>Active</x:v>
      </x:c>
      <x:c r="K129" s="6" t="str">
        <x:v>/Game/HeavensDivide/Upgrades/Ninja/DA_Upgrade_NinjaShurikenTwinFrequency
Source/HeavensDivide/NinjaBuildComponent.cpp:233</x:v>
      </x:c>
    </x:row>
    <x:row r="130" ht="51" customHeight="1">
      <x:c r="A130" s="6" t="str">
        <x:v>Giant Shuriken</x:v>
      </x:c>
      <x:c r="B130" s="6" t="str">
        <x:v>Unstoppable Growth</x:v>
      </x:c>
      <x:c r="C130" s="6" t="str">
        <x:v>ShurikenGrowth</x:v>
      </x:c>
      <x:c r="D130" s="13" t="n">
        <x:v>5</x:v>
      </x:c>
      <x:c r="E130" s="6" t="str">
        <x:v>Rare (fixed)</x:v>
      </x:c>
      <x:c r="F130" s="6" t="str">
        <x:v>Level-up</x:v>
      </x:c>
      <x:c r="G130" s="6" t="str">
        <x:v>+20 percentage points to maximum blade growth, including Blood Hunger's cap.</x:v>
      </x:c>
      <x:c r="H130" s="6" t="str">
        <x:v>Adds +0.2 to the size cap per rank, reaching x3 at rank 5. Raises both time growth and Blood Hunger cap. Requires Growing Shuriken.</x:v>
      </x:c>
      <x:c r="I130" s="6" t="str">
        <x:v>GreatShuriken; WideOrbit</x:v>
      </x:c>
      <x:c r="J130" s="6" t="str">
        <x:v>Active</x:v>
      </x:c>
      <x:c r="K130" s="6" t="str">
        <x:v>/Game/HeavensDivide/Upgrades/Ninja/DA_Upgrade_NinjaShurikenGrowth
Source/HeavensDivide/NinjaShurikenBuild.cpp:30</x:v>
      </x:c>
    </x:row>
    <x:row r="131" ht="77" customHeight="1">
      <x:c r="A131" s="6" t="str">
        <x:v>Giant Shuriken</x:v>
      </x:c>
      <x:c r="B131" s="6" t="str">
        <x:v>Blood Hunger</x:v>
      </x:c>
      <x:c r="C131" s="6" t="str">
        <x:v>ShurikenHunger</x:v>
      </x:c>
      <x:c r="D131" s="13" t="n">
        <x:v>1</x:v>
      </x:c>
      <x:c r="E131" s="6" t="str">
        <x:v>Rare (fixed)</x:v>
      </x:c>
      <x:c r="F131" s="6" t="str">
        <x:v>Blood Shrine</x:v>
      </x:c>
      <x:c r="G131" s="6" t="str">
        <x:v>Blades start 30% smaller and grow 10% per kill, up to their growth cap. Size upgrades boost growth per kill instead.</x:v>
      </x:c>
      <x:c r="H131" s="6" t="str">
        <x:v>Starting radius x0.7. +10% growth/kill; size-card magnitudes amplify growth/kill instead of starting radius. Overall growth cap still applies.</x:v>
      </x:c>
      <x:c r="I131" s="6" t="str">
        <x:v>GreatShuriken</x:v>
      </x:c>
      <x:c r="J131" s="6" t="str">
        <x:v>Active</x:v>
      </x:c>
      <x:c r="K131" s="6" t="str">
        <x:v>/Game/HeavensDivide/Upgrades/Ninja/DA_Upgrade_NinjaShurikenHunger
Source/HeavensDivide/NinjaShurikenBuild.cpp:33
Source/HeavensDivide/NinjaBuildComponent.cpp:274
Source/HeavensDivide/ShurikenBuild.cpp:10</x:v>
      </x:c>
    </x:row>
    <x:row r="132" ht="77" customHeight="1">
      <x:c r="A132" s="6" t="str">
        <x:v>Giant Shuriken</x:v>
      </x:c>
      <x:c r="B132" s="6" t="str">
        <x:v>Bound Orbit</x:v>
      </x:c>
      <x:c r="C132" s="6" t="str">
        <x:v>ShurikenOrbit</x:v>
      </x:c>
      <x:c r="D132" s="13" t="n">
        <x:v>1</x:v>
      </x:c>
      <x:c r="E132" s="6" t="str">
        <x:v>Rare (fixed)</x:v>
      </x:c>
      <x:c r="F132" s="6" t="str">
        <x:v>Blood Shrine</x:v>
      </x:c>
      <x:c r="G132" s="6" t="str">
        <x:v>Blades orbit you but deal 30% less contact damage. Expiry slashes still trigger.</x:v>
      </x:c>
      <x:c r="H132" s="6" t="str">
        <x:v>Orbit radius fixed at 230 cm. Contact damage x0.7; burst damage unaffected. Finishes at last center after swapping out.</x:v>
      </x:c>
      <x:c r="I132" s="6" t="str">
        <x:v>GreatShuriken</x:v>
      </x:c>
      <x:c r="J132" s="6" t="str">
        <x:v>Active</x:v>
      </x:c>
      <x:c r="K132" s="6" t="str">
        <x:v>/Game/HeavensDivide/Upgrades/Ninja/DA_Upgrade_NinjaShurikenOrbit
Source/HeavensDivide/NinjaShurikenBuild.cpp:49
Source/HeavensDivide/NinjaBuildComponent.cpp:280
Source/HeavensDivide/ShurikenBuild.cpp:10</x:v>
      </x:c>
    </x:row>
    <x:row r="133" ht="64" customHeight="1">
      <x:c r="A133" s="6" t="str">
        <x:v>Giant Shuriken</x:v>
      </x:c>
      <x:c r="B133" s="6" t="str">
        <x:v>Pulsing Core</x:v>
      </x:c>
      <x:c r="C133" s="6" t="str">
        <x:v>ShurikenPulse</x:v>
      </x:c>
      <x:c r="D133" s="13" t="n">
        <x:v>1</x:v>
      </x:c>
      <x:c r="E133" s="6" t="str">
        <x:v>Rare (fixed)</x:v>
      </x:c>
      <x:c r="F133" s="6" t="str">
        <x:v>Blood Shrine</x:v>
      </x:c>
      <x:c r="G133" s="6" t="str">
        <x:v>Blades burst every second but deal 35% less contact damage. Cutting Tempo speeds up bursts; expiry slashes still trigger.</x:v>
      </x:c>
      <x:c r="H133" s="6" t="str">
        <x:v>Needs Breaking Wheel. Periodic bursts plus expiry burst; contact x0.65. Combines multiplicatively with Bound Orbit contact penalty.</x:v>
      </x:c>
      <x:c r="I133" s="6" t="str">
        <x:v>GreatShuriken; BreakingWheel</x:v>
      </x:c>
      <x:c r="J133" s="6" t="str">
        <x:v>Active</x:v>
      </x:c>
      <x:c r="K133" s="6" t="str">
        <x:v>/Game/HeavensDivide/Upgrades/Ninja/DA_Upgrade_NinjaShurikenPulse
Source/HeavensDivide/NinjaShurikenBuild.cpp:50
Source/HeavensDivide/ShurikenBuild.cpp:10</x:v>
      </x:c>
    </x:row>
    <x:row r="134" ht="51" customHeight="1">
      <x:c r="A134" s="6" t="str">
        <x:v>Shared</x:v>
      </x:c>
      <x:c r="B134" s="6" t="str">
        <x:v>Grand Entrance</x:v>
      </x:c>
      <x:c r="C134" s="6" t="str">
        <x:v>GrandEntrance</x:v>
      </x:c>
      <x:c r="D134" s="13" t="n">
        <x:v>1</x:v>
      </x:c>
      <x:c r="E134" s="6" t="str">
        <x:v>Epic (fixed)</x:v>
      </x:c>
      <x:c r="F134" s="6" t="str">
        <x:v>Starting loadout</x:v>
      </x:c>
      <x:c r="G134" s="6" t="str">
        <x:v>Swapping empowers your next attack: Samurai gains a 6m circular slash; Ninja gains 8 projectiles (Fang damage or Shuriken size instead).</x:v>
      </x:c>
      <x:c r="H134" s="6" t="str">
        <x:v>One empowered next attack after swapping. Ninja extra-count bonus becomes Fang damage or Shuriken size for those stances.</x:v>
      </x:c>
      <x:c r="I134" s="6" t="str">
        <x:v>None</x:v>
      </x:c>
      <x:c r="J134" s="6" t="str">
        <x:v>Active</x:v>
      </x:c>
      <x:c r="K134" s="6" t="str">
        <x:v>/Game/HeavensDivide/Upgrades/Synergy/DA_Synergy_GrandEntrance
Source/HeavensDivide/AutoAttackComponent.cpp:1276</x:v>
      </x:c>
    </x:row>
    <x:row r="135" ht="51" customHeight="1">
      <x:c r="A135" s="6" t="str">
        <x:v>Shared</x:v>
      </x:c>
      <x:c r="B135" s="6" t="str">
        <x:v>Handoff</x:v>
      </x:c>
      <x:c r="C135" s="6" t="str">
        <x:v>Handoff</x:v>
      </x:c>
      <x:c r="D135" s="13" t="n">
        <x:v>1</x:v>
      </x:c>
      <x:c r="E135" s="6" t="str">
        <x:v>Common (fixed)</x:v>
      </x:c>
      <x:c r="F135" s="6" t="str">
        <x:v>Starting loadout</x:v>
      </x:c>
      <x:c r="G135" s="6" t="str">
        <x:v>After swapping, the incoming hero gains 40% attack speed for 2 seconds.</x:v>
      </x:c>
      <x:c r="H135" s="6" t="str">
        <x:v>Saved +40% attack speed for 2 s. Temporary interval bonus follows the incoming hero; Fang converts the faster interval into flight speed.</x:v>
      </x:c>
      <x:c r="I135" s="6" t="str">
        <x:v>None</x:v>
      </x:c>
      <x:c r="J135" s="6" t="str">
        <x:v>Active</x:v>
      </x:c>
      <x:c r="K135" s="6" t="str">
        <x:v>/Game/HeavensDivide/Upgrades/Synergy/DA_Synergy_Handoff
Source/HeavensDivide/PlayerUpgradeComponent.cpp:46</x:v>
      </x:c>
    </x:row>
    <x:row r="136" ht="51" customHeight="1">
      <x:c r="A136" s="6" t="str">
        <x:v>Shared</x:v>
      </x:c>
      <x:c r="B136" s="6" t="str">
        <x:v>Marked Blade</x:v>
      </x:c>
      <x:c r="C136" s="6" t="str">
        <x:v>MarkedBlade</x:v>
      </x:c>
      <x:c r="D136" s="13" t="n">
        <x:v>1</x:v>
      </x:c>
      <x:c r="E136" s="6" t="str">
        <x:v>Common (fixed)</x:v>
      </x:c>
      <x:c r="F136" s="6" t="str">
        <x:v>Starting loadout</x:v>
      </x:c>
      <x:c r="G136" s="6" t="str">
        <x:v>Samurai attacks mark enemies. Ninja attacks consume these marks to deal bonus damage.</x:v>
      </x:c>
      <x:c r="H136" s="6" t="str">
        <x:v>Separate consumable mark from Iaijutsu vulnerability. Ninja consumes it for x2 damage.</x:v>
      </x:c>
      <x:c r="I136" s="6" t="str">
        <x:v>None</x:v>
      </x:c>
      <x:c r="J136" s="6" t="str">
        <x:v>Active</x:v>
      </x:c>
      <x:c r="K136" s="6" t="str">
        <x:v>/Game/HeavensDivide/Upgrades/Synergy/DA_Upgrade_SamuraiApplyMarks
Source/HeavensDivide/PlayerUpgradeComponent.cpp:46</x:v>
      </x:c>
    </x:row>
    <x:row r="137" ht="51" customHeight="1">
      <x:c r="A137" s="6" t="str">
        <x:v>Shared</x:v>
      </x:c>
      <x:c r="B137" s="6" t="str">
        <x:v>Second Wind</x:v>
      </x:c>
      <x:c r="C137" s="6" t="str">
        <x:v>SynergySwapRestoresDashCharge</x:v>
      </x:c>
      <x:c r="D137" s="13" t="n">
        <x:v>1</x:v>
      </x:c>
      <x:c r="E137" s="6" t="str">
        <x:v>Common (fixed)</x:v>
      </x:c>
      <x:c r="F137" s="6" t="str">
        <x:v>Starting loadout</x:v>
      </x:c>
      <x:c r="G137" s="6" t="str">
        <x:v>Swapping heroes restores 1 dash charge(s).</x:v>
      </x:c>
      <x:c r="H137" s="6" t="str">
        <x:v>Restores one charge on swap, clamped by the shared maximum.</x:v>
      </x:c>
      <x:c r="I137" s="6" t="str">
        <x:v>None</x:v>
      </x:c>
      <x:c r="J137" s="6" t="str">
        <x:v>Active</x:v>
      </x:c>
      <x:c r="K137" s="6" t="str">
        <x:v>/Game/HeavensDivide/Upgrades/Synergy/DA_Synergy_SwapRestoresDashCharge
Source/HeavensDivide/PlayerUpgradeComponent.cpp:46</x:v>
      </x:c>
    </x:row>
    <x:row r="138" ht="38" customHeight="1">
      <x:c r="A138" s="6" t="str">
        <x:v>Shared</x:v>
      </x:c>
      <x:c r="B138" s="6" t="str">
        <x:v>Tag Team</x:v>
      </x:c>
      <x:c r="C138" s="6" t="str">
        <x:v>TagTeam</x:v>
      </x:c>
      <x:c r="D138" s="13" t="n">
        <x:v>1</x:v>
      </x:c>
      <x:c r="E138" s="6" t="str">
        <x:v>Common (fixed)</x:v>
      </x:c>
      <x:c r="F138" s="6" t="str">
        <x:v>Starting loadout</x:v>
      </x:c>
      <x:c r="G138" s="6" t="str">
        <x:v>Every 5 normal attacks, your partner attacks: Ninja uses her weapon; Samurai slashes and knocks foes back.</x:v>
      </x:c>
      <x:c r="H138" s="6" t="str">
        <x:v>Starting equipment, not a level-up card. Normal attacks advance a five-attack counter; procs/assists do not feed it recursively.</x:v>
      </x:c>
      <x:c r="I138" s="6" t="str">
        <x:v>None</x:v>
      </x:c>
      <x:c r="J138" s="6" t="str">
        <x:v>Active</x:v>
      </x:c>
      <x:c r="K138" s="6" t="str">
        <x:v>/Game/HeavensDivide/Upgrades/Synergy/DA_Synergy_TagTeam
Source/HeavensDivide/InactiveCharacterAssistComponent.cpp:319</x:v>
      </x:c>
    </x:row>
    <x:row r="139" ht="38" customHeight="1">
      <x:c r="A139" s="6" t="str">
        <x:v>Shared</x:v>
      </x:c>
      <x:c r="B139" s="6" t="str">
        <x:v>Extra Dash</x:v>
      </x:c>
      <x:c r="C139" s="6" t="str">
        <x:v>GlobalDashCharge</x:v>
      </x:c>
      <x:c r="D139" s="13" t="n">
        <x:v>4</x:v>
      </x:c>
      <x:c r="E139" s="6" t="str">
        <x:v>Common (fixed)</x:v>
      </x:c>
      <x:c r="F139" s="6" t="str">
        <x:v>Level-up</x:v>
      </x:c>
      <x:c r="G139" s="6" t="str">
        <x:v>Gain 1 additional dash charge.</x:v>
      </x:c>
      <x:c r="H139" s="6" t="str"/>
      <x:c r="I139" s="6" t="str">
        <x:v>None</x:v>
      </x:c>
      <x:c r="J139" s="6" t="str">
        <x:v>Active</x:v>
      </x:c>
      <x:c r="K139" s="6" t="str">
        <x:v>/Game/HeavensDivide/Upgrades/Global/DA_Upgrade_GlobalDashCharge
Source/HeavensDivide/PlayerUpgradeStats.cpp:126</x:v>
      </x:c>
    </x:row>
    <x:row r="140" ht="38" customHeight="1">
      <x:c r="A140" s="6" t="str">
        <x:v>Shared</x:v>
      </x:c>
      <x:c r="B140" s="6" t="str">
        <x:v>Fleetfoot</x:v>
      </x:c>
      <x:c r="C140" s="6" t="str">
        <x:v>GlobalMovespeed</x:v>
      </x:c>
      <x:c r="D140" s="13" t="n">
        <x:v>10</x:v>
      </x:c>
      <x:c r="E140" s="6" t="str">
        <x:v>Common / Rare / Epic</x:v>
      </x:c>
      <x:c r="F140" s="6" t="str">
        <x:v>Level-up</x:v>
      </x:c>
      <x:c r="G140" s="6" t="str">
        <x:v>Move 5% faster.</x:v>
      </x:c>
      <x:c r="H140" s="6" t="str"/>
      <x:c r="I140" s="6" t="str">
        <x:v>None</x:v>
      </x:c>
      <x:c r="J140" s="6" t="str">
        <x:v>Active</x:v>
      </x:c>
      <x:c r="K140" s="6" t="str">
        <x:v>/Game/HeavensDivide/Upgrades/Global/DA_Upgrade_GlobalMoveSpeed
Source/HeavensDivide/PlayerUpgradeStats.cpp:126</x:v>
      </x:c>
    </x:row>
    <x:row r="141" ht="51" customHeight="1">
      <x:c r="A141" s="6" t="str">
        <x:v>Shared</x:v>
      </x:c>
      <x:c r="B141" s="6" t="str">
        <x:v>Magnetism</x:v>
      </x:c>
      <x:c r="C141" s="6" t="str">
        <x:v>GlobalPickupRadius</x:v>
      </x:c>
      <x:c r="D141" s="13" t="n">
        <x:v>10</x:v>
      </x:c>
      <x:c r="E141" s="6" t="str">
        <x:v>Common / Rare / Epic</x:v>
      </x:c>
      <x:c r="F141" s="6" t="str">
        <x:v>Level-up</x:v>
      </x:c>
      <x:c r="G141" s="6" t="str">
        <x:v>Increase pickup range by 30%.</x:v>
      </x:c>
      <x:c r="H141" s="6" t="str"/>
      <x:c r="I141" s="6" t="str">
        <x:v>None</x:v>
      </x:c>
      <x:c r="J141" s="6" t="str">
        <x:v>Active</x:v>
      </x:c>
      <x:c r="K141" s="6" t="str">
        <x:v>/Game/HeavensDivide/Upgrades/Global/DA_Upgrade_GlobalPickupRadius
Source/HeavensDivide/PlayerUpgradeStats.cpp:126</x:v>
      </x:c>
    </x:row>
    <x:row r="142" ht="51" customHeight="1">
      <x:c r="A142" s="6" t="str">
        <x:v>Shared</x:v>
      </x:c>
      <x:c r="B142" s="6" t="str">
        <x:v>Quickening</x:v>
      </x:c>
      <x:c r="C142" s="6" t="str">
        <x:v>GlobalAttackSpeed</x:v>
      </x:c>
      <x:c r="D142" s="13" t="n">
        <x:v>10</x:v>
      </x:c>
      <x:c r="E142" s="6" t="str">
        <x:v>Common / Rare / Epic</x:v>
      </x:c>
      <x:c r="F142" s="6" t="str">
        <x:v>Level-up</x:v>
      </x:c>
      <x:c r="G142" s="6" t="str">
        <x:v>Both heroes gain 5% attack speed.</x:v>
      </x:c>
      <x:c r="H142" s="6" t="str">
        <x:v>Run stat scales normal attack/recovery intervals. Unlike permanent cadence conversion, it speeds Shuriken throws and Iaijutsu recovery, not contact tempo or charge.</x:v>
      </x:c>
      <x:c r="I142" s="6" t="str">
        <x:v>None</x:v>
      </x:c>
      <x:c r="J142" s="6" t="str">
        <x:v>Active</x:v>
      </x:c>
      <x:c r="K142" s="6" t="str">
        <x:v>/Game/HeavensDivide/Upgrades/Global/DA_Upgrade_GlobalAttackSpeed
Source/HeavensDivide/PlayerUpgradeStats.cpp:126</x:v>
      </x:c>
    </x:row>
    <x:row r="143" ht="38" customHeight="1">
      <x:c r="A143" s="6" t="str">
        <x:v>Shared</x:v>
      </x:c>
      <x:c r="B143" s="6" t="str">
        <x:v>Shared Strength</x:v>
      </x:c>
      <x:c r="C143" s="6" t="str">
        <x:v>GlobalDamage</x:v>
      </x:c>
      <x:c r="D143" s="13" t="n">
        <x:v>10</x:v>
      </x:c>
      <x:c r="E143" s="6" t="str">
        <x:v>Common / Rare / Epic</x:v>
      </x:c>
      <x:c r="F143" s="6" t="str">
        <x:v>Level-up</x:v>
      </x:c>
      <x:c r="G143" s="6" t="str">
        <x:v>Both heroes deal 10% more damage.</x:v>
      </x:c>
      <x:c r="H143" s="6" t="str"/>
      <x:c r="I143" s="6" t="str">
        <x:v>None</x:v>
      </x:c>
      <x:c r="J143" s="6" t="str">
        <x:v>Active</x:v>
      </x:c>
      <x:c r="K143" s="6" t="str">
        <x:v>/Game/HeavensDivide/Upgrades/Global/DA_Upgrade_GlobalDamage
Source/HeavensDivide/PlayerUpgradeStats.cpp:126</x:v>
      </x:c>
    </x:row>
    <x:row r="144" ht="38" customHeight="1">
      <x:c r="A144" s="6" t="str">
        <x:v>Shared</x:v>
      </x:c>
      <x:c r="B144" s="6" t="str">
        <x:v>Vitality</x:v>
      </x:c>
      <x:c r="C144" s="6" t="str">
        <x:v>GlobalMaxHealth</x:v>
      </x:c>
      <x:c r="D144" s="13" t="n">
        <x:v>10</x:v>
      </x:c>
      <x:c r="E144" s="6" t="str">
        <x:v>Common / Rare / Epic</x:v>
      </x:c>
      <x:c r="F144" s="6" t="str">
        <x:v>Level-up</x:v>
      </x:c>
      <x:c r="G144" s="6" t="str">
        <x:v>Increase maximum health by 5%.</x:v>
      </x:c>
      <x:c r="H144" s="6" t="str"/>
      <x:c r="I144" s="6" t="str">
        <x:v>None</x:v>
      </x:c>
      <x:c r="J144" s="6" t="str">
        <x:v>Active</x:v>
      </x:c>
      <x:c r="K144" s="6" t="str">
        <x:v>/Game/HeavensDivide/Upgrades/Global/DA_Upgrade_GlobalMaxHealth
Source/HeavensDivide/PlayerUpgradeStats.cpp:126</x:v>
      </x:c>
    </x:row>
    <x:row r="145" ht="51" customHeight="1">
      <x:c r="A145" s="6" t="str">
        <x:v>Legacy Ninja</x:v>
      </x:c>
      <x:c r="B145" s="6" t="str">
        <x:v>Afterimage Frenzy</x:v>
      </x:c>
      <x:c r="C145" s="6" t="str">
        <x:v>AfterimageFrenzy</x:v>
      </x:c>
      <x:c r="D145" s="13" t="n">
        <x:v>1</x:v>
      </x:c>
      <x:c r="E145" s="6" t="str">
        <x:v>Common (fixed)</x:v>
      </x:c>
      <x:c r="F145" s="6" t="str">
        <x:v>Legacy / converted</x:v>
      </x:c>
      <x:c r="G145" s="6" t="str">
        <x:v>Shadow Clones attack 200% faster. Their Returning Fangs travel 200% faster instead.</x:v>
      </x:c>
      <x:c r="H145" s="6" t="str">
        <x:v>Retained saved asset, but all three normal Ninja stances suppress or replace it. Not offered in a normal selected-stance run.</x:v>
      </x:c>
      <x:c r="I145" s="6" t="str">
        <x:v>ShadowStep; MultipleStrikes rank 1</x:v>
      </x:c>
      <x:c r="J145" s="6" t="str">
        <x:v>Unavailable in normal runs</x:v>
      </x:c>
      <x:c r="K145" s="6" t="str">
        <x:v>/Game/HeavensDivide/Upgrades/Ninja/DA_Upgrade_NinjaAfterimageFrenzy
Source/HeavensDivide/FangBuild.cpp:14</x:v>
      </x:c>
    </x:row>
    <x:row r="146" ht="51" customHeight="1">
      <x:c r="A146" s="6" t="str">
        <x:v>Legacy Ninja</x:v>
      </x:c>
      <x:c r="B146" s="6" t="str">
        <x:v>Embedded Blades</x:v>
      </x:c>
      <x:c r="C146" s="6" t="str">
        <x:v>EmbeddedBlades</x:v>
      </x:c>
      <x:c r="D146" s="13" t="n">
        <x:v>1</x:v>
      </x:c>
      <x:c r="E146" s="6" t="str">
        <x:v>Rare (fixed)</x:v>
      </x:c>
      <x:c r="F146" s="6" t="str">
        <x:v>Legacy / converted</x:v>
      </x:c>
      <x:c r="G146" s="6" t="str">
        <x:v>Hits embed up to 12 blades per enemy. On death, blades scatter for 40% of their original hit damage. Scattered blades cannot embed.</x:v>
      </x:c>
      <x:c r="H146" s="6" t="str">
        <x:v>Retained saved asset, but all three normal Ninja stances suppress or replace it. Not offered in a normal selected-stance run.</x:v>
      </x:c>
      <x:c r="I146" s="6" t="str">
        <x:v>None</x:v>
      </x:c>
      <x:c r="J146" s="6" t="str">
        <x:v>Unavailable in normal runs</x:v>
      </x:c>
      <x:c r="K146" s="6" t="str">
        <x:v>/Game/HeavensDivide/Upgrades/Ninja/DA_Upgrade_NinjaEmbeddedBlades
Source/HeavensDivide/FangBuild.cpp:15</x:v>
      </x:c>
    </x:row>
    <x:row r="147" ht="38" customHeight="1">
      <x:c r="A147" s="6" t="str">
        <x:v>Legacy Ninja</x:v>
      </x:c>
      <x:c r="B147" s="6" t="str">
        <x:v>Shadow Step</x:v>
      </x:c>
      <x:c r="C147" s="6" t="str">
        <x:v>ShadowStep</x:v>
      </x:c>
      <x:c r="D147" s="13" t="n">
        <x:v>1</x:v>
      </x:c>
      <x:c r="E147" s="6" t="str">
        <x:v>Common (fixed)</x:v>
      </x:c>
      <x:c r="F147" s="6" t="str">
        <x:v>Legacy / converted</x:v>
      </x:c>
      <x:c r="G147" s="6" t="str">
        <x:v>Dashing as Ninja leaves a Shadow Clone that attacks 1 time(s) with your current weapon.</x:v>
      </x:c>
      <x:c r="H147" s="6" t="str">
        <x:v>Retained saved asset, but all three normal Ninja stances suppress or replace it. Not offered in a normal selected-stance run.</x:v>
      </x:c>
      <x:c r="I147" s="6" t="str">
        <x:v>None</x:v>
      </x:c>
      <x:c r="J147" s="6" t="str">
        <x:v>Unavailable in normal runs</x:v>
      </x:c>
      <x:c r="K147" s="6" t="str">
        <x:v>/Game/HeavensDivide/Upgrades/Ninja/DA_Upgrade_NinjaShadowStep
Source/HeavensDivide/FangBuild.cpp:14</x:v>
      </x:c>
    </x:row>
    <x:row r="148" ht="51" customHeight="1">
      <x:c r="A148" s="6" t="str">
        <x:v>Legacy Ninja</x:v>
      </x:c>
      <x:c r="B148" s="6" t="str">
        <x:v>Venomous Blades</x:v>
      </x:c>
      <x:c r="C148" s="6" t="str">
        <x:v>VenomousKunai</x:v>
      </x:c>
      <x:c r="D148" s="13" t="n">
        <x:v>1</x:v>
      </x:c>
      <x:c r="E148" s="6" t="str">
        <x:v>Common (fixed)</x:v>
      </x:c>
      <x:c r="F148" s="6" t="str">
        <x:v>Legacy / converted</x:v>
      </x:c>
      <x:c r="G148" s="6" t="str">
        <x:v>Ninja attacks inflict Poison, including attacks from Shadow Clones and assists.</x:v>
      </x:c>
      <x:c r="H148" s="6" t="str">
        <x:v>Retained saved asset, but all three normal Ninja stances suppress or replace it. Not offered in a normal selected-stance run.</x:v>
      </x:c>
      <x:c r="I148" s="6" t="str">
        <x:v>None</x:v>
      </x:c>
      <x:c r="J148" s="6" t="str">
        <x:v>Unavailable in normal runs</x:v>
      </x:c>
      <x:c r="K148" s="6" t="str">
        <x:v>/Game/HeavensDivide/Upgrades/Ninja/DA_Upgrade_NinjaVenomousKunai
Source/HeavensDivide/FangBuild.cpp:15</x:v>
      </x:c>
    </x:row>
    <x:row r="149" ht="38" customHeight="1">
      <x:c r="A149" s="6" t="str">
        <x:v>Legacy Ninja</x:v>
      </x:c>
      <x:c r="B149" s="6" t="str">
        <x:v>Attack Damage</x:v>
      </x:c>
      <x:c r="C149" s="6" t="str">
        <x:v>NinjaDamage</x:v>
      </x:c>
      <x:c r="D149" s="13" t="n">
        <x:v>5</x:v>
      </x:c>
      <x:c r="E149" s="6" t="str">
        <x:v>Common / Rare / Epic</x:v>
      </x:c>
      <x:c r="F149" s="6" t="str">
        <x:v>Legacy / converted</x:v>
      </x:c>
      <x:c r="G149" s="6" t="str">
        <x:v>Ninja attacks deal 20% more damage.</x:v>
      </x:c>
      <x:c r="H149" s="6" t="str">
        <x:v>Retained saved asset, but all three normal Ninja stances suppress or replace it. Not offered in a normal selected-stance run.</x:v>
      </x:c>
      <x:c r="I149" s="6" t="str">
        <x:v>None</x:v>
      </x:c>
      <x:c r="J149" s="6" t="str">
        <x:v>Unavailable in normal runs</x:v>
      </x:c>
      <x:c r="K149" s="6" t="str">
        <x:v>/Game/HeavensDivide/Upgrades/Ninja/DA_Upgrade_NinjaDamage
Source/HeavensDivide/PlayerUpgradeComponent.cpp:66</x:v>
      </x:c>
    </x:row>
    <x:row r="150" ht="38" customHeight="1">
      <x:c r="A150" s="6" t="str">
        <x:v>Legacy Ninja</x:v>
      </x:c>
      <x:c r="B150" s="6" t="str">
        <x:v>Attack Speed</x:v>
      </x:c>
      <x:c r="C150" s="6" t="str">
        <x:v>NinjaSpeed</x:v>
      </x:c>
      <x:c r="D150" s="13" t="n">
        <x:v>5</x:v>
      </x:c>
      <x:c r="E150" s="6" t="str">
        <x:v>Common / Rare / Epic</x:v>
      </x:c>
      <x:c r="F150" s="6" t="str">
        <x:v>Legacy / converted</x:v>
      </x:c>
      <x:c r="G150" s="6" t="str">
        <x:v>Ninja attacks are 10% faster. Converts to Flight Speed with Returning Fang.</x:v>
      </x:c>
      <x:c r="H150" s="6" t="str">
        <x:v>Retained saved asset, but all three normal Ninja stances suppress or replace it. Not offered in a normal selected-stance run.</x:v>
      </x:c>
      <x:c r="I150" s="6" t="str">
        <x:v>None</x:v>
      </x:c>
      <x:c r="J150" s="6" t="str">
        <x:v>Unavailable in normal runs</x:v>
      </x:c>
      <x:c r="K150" s="6" t="str">
        <x:v>/Game/HeavensDivide/Upgrades/Ninja/DA_Upgrade_NinjaSpeed
Source/HeavensDivide/PlayerUpgradeComponent.cpp:66</x:v>
      </x:c>
    </x:row>
    <x:row r="151" ht="38" customHeight="1">
      <x:c r="A151" s="6" t="str">
        <x:v>Legacy Ninja</x:v>
      </x:c>
      <x:c r="B151" s="6" t="str">
        <x:v>Barbed Blades</x:v>
      </x:c>
      <x:c r="C151" s="6" t="str">
        <x:v>FragmentLoad</x:v>
      </x:c>
      <x:c r="D151" s="13" t="n">
        <x:v>3</x:v>
      </x:c>
      <x:c r="E151" s="6" t="str">
        <x:v>Rare (fixed)</x:v>
      </x:c>
      <x:c r="F151" s="6" t="str">
        <x:v>Legacy / converted</x:v>
      </x:c>
      <x:c r="G151" s="6" t="str">
        <x:v>Embed 1 additional blade with each hit.</x:v>
      </x:c>
      <x:c r="H151" s="6" t="str">
        <x:v>Retained saved asset, but all three normal Ninja stances suppress or replace it. Not offered in a normal selected-stance run.</x:v>
      </x:c>
      <x:c r="I151" s="6" t="str">
        <x:v>EmbeddedBlades</x:v>
      </x:c>
      <x:c r="J151" s="6" t="str">
        <x:v>Unavailable in normal runs</x:v>
      </x:c>
      <x:c r="K151" s="6" t="str">
        <x:v>/Game/HeavensDivide/Upgrades/Ninja/DA_Upgrade_NinjaFragmentLoad
Source/HeavensDivide/FangBuild.cpp:15</x:v>
      </x:c>
    </x:row>
    <x:row r="152" ht="38" customHeight="1">
      <x:c r="A152" s="6" t="str">
        <x:v>Legacy Ninja</x:v>
      </x:c>
      <x:c r="B152" s="6" t="str">
        <x:v>Coverage</x:v>
      </x:c>
      <x:c r="C152" s="6" t="str">
        <x:v>NinjaCoverage</x:v>
      </x:c>
      <x:c r="D152" s="13" t="n">
        <x:v>5</x:v>
      </x:c>
      <x:c r="E152" s="6" t="str">
        <x:v>Common / Rare / Epic</x:v>
      </x:c>
      <x:c r="F152" s="6" t="str">
        <x:v>Legacy / converted</x:v>
      </x:c>
      <x:c r="G152" s="6" t="str">
        <x:v>Kunai and Great Shuriken are 15% larger. Converts to Attack Range with Returning Fang.</x:v>
      </x:c>
      <x:c r="H152" s="6" t="str">
        <x:v>Retained saved asset, but all three normal Ninja stances suppress or replace it. Not offered in a normal selected-stance run.</x:v>
      </x:c>
      <x:c r="I152" s="6" t="str">
        <x:v>None</x:v>
      </x:c>
      <x:c r="J152" s="6" t="str">
        <x:v>Unavailable in normal runs</x:v>
      </x:c>
      <x:c r="K152" s="6" t="str">
        <x:v>/Game/HeavensDivide/Upgrades/Ninja/DA_Upgrade_NinjaCoverage
Source/HeavensDivide/PlayerUpgradeComponent.cpp:66</x:v>
      </x:c>
    </x:row>
    <x:row r="153" ht="51" customHeight="1">
      <x:c r="A153" s="6" t="str">
        <x:v>Legacy Ninja</x:v>
      </x:c>
      <x:c r="B153" s="6" t="str">
        <x:v>Multiple Strikes</x:v>
      </x:c>
      <x:c r="C153" s="6" t="str">
        <x:v>MultipleStrikes</x:v>
      </x:c>
      <x:c r="D153" s="13" t="n">
        <x:v>3</x:v>
      </x:c>
      <x:c r="E153" s="6" t="str">
        <x:v>Common / Rare / Epic</x:v>
      </x:c>
      <x:c r="F153" s="6" t="str">
        <x:v>Legacy / converted</x:v>
      </x:c>
      <x:c r="G153" s="6" t="str">
        <x:v>Shadow Clones perform 1 additional attack.</x:v>
      </x:c>
      <x:c r="H153" s="6" t="str">
        <x:v>Retained saved asset, but all three normal Ninja stances suppress or replace it. Not offered in a normal selected-stance run.</x:v>
      </x:c>
      <x:c r="I153" s="6" t="str">
        <x:v>ShadowStep</x:v>
      </x:c>
      <x:c r="J153" s="6" t="str">
        <x:v>Unavailable in normal runs</x:v>
      </x:c>
      <x:c r="K153" s="6" t="str">
        <x:v>/Game/HeavensDivide/Upgrades/Ninja/DA_Upgrade_NinjaMultipleStrikes
Source/HeavensDivide/FangBuild.cpp:14</x:v>
      </x:c>
    </x:row>
    <x:row r="154" ht="51" customHeight="1">
      <x:c r="A154" s="6" t="str">
        <x:v>Legacy Ninja</x:v>
      </x:c>
      <x:c r="B154" s="6" t="str">
        <x:v>Scattering Blades</x:v>
      </x:c>
      <x:c r="C154" s="6" t="str">
        <x:v>FragmentReach</x:v>
      </x:c>
      <x:c r="D154" s="13" t="n">
        <x:v>5</x:v>
      </x:c>
      <x:c r="E154" s="6" t="str">
        <x:v>Common / Rare / Epic</x:v>
      </x:c>
      <x:c r="F154" s="6" t="str">
        <x:v>Legacy / converted</x:v>
      </x:c>
      <x:c r="G154" s="6" t="str">
        <x:v>Scattered blades seek enemies from 15% farther away.</x:v>
      </x:c>
      <x:c r="H154" s="6" t="str">
        <x:v>Retained saved asset, but all three normal Ninja stances suppress or replace it. Not offered in a normal selected-stance run.</x:v>
      </x:c>
      <x:c r="I154" s="6" t="str">
        <x:v>EmbeddedBlades</x:v>
      </x:c>
      <x:c r="J154" s="6" t="str">
        <x:v>Unavailable in normal runs</x:v>
      </x:c>
      <x:c r="K154" s="6" t="str">
        <x:v>/Game/HeavensDivide/Upgrades/Ninja/DA_Upgrade_NinjaFragmentReach
Source/HeavensDivide/FangBuild.cpp:15</x:v>
      </x:c>
    </x:row>
    <x:row r="155" ht="51" customHeight="1">
      <x:c r="A155" s="6" t="str">
        <x:v>Legacy Ninja</x:v>
      </x:c>
      <x:c r="B155" s="6" t="str">
        <x:v>Sharper Fragments</x:v>
      </x:c>
      <x:c r="C155" s="6" t="str">
        <x:v>FragmentDamage</x:v>
      </x:c>
      <x:c r="D155" s="13" t="n">
        <x:v>5</x:v>
      </x:c>
      <x:c r="E155" s="6" t="str">
        <x:v>Common / Rare / Epic</x:v>
      </x:c>
      <x:c r="F155" s="6" t="str">
        <x:v>Legacy / converted</x:v>
      </x:c>
      <x:c r="G155" s="6" t="str">
        <x:v>Embedded blades deal 20% more damage.</x:v>
      </x:c>
      <x:c r="H155" s="6" t="str">
        <x:v>Retained saved asset, but all three normal Ninja stances suppress or replace it. Not offered in a normal selected-stance run.</x:v>
      </x:c>
      <x:c r="I155" s="6" t="str">
        <x:v>EmbeddedBlades</x:v>
      </x:c>
      <x:c r="J155" s="6" t="str">
        <x:v>Unavailable in normal runs</x:v>
      </x:c>
      <x:c r="K155" s="6" t="str">
        <x:v>/Game/HeavensDivide/Upgrades/Ninja/DA_Upgrade_NinjaFragmentDamage
Source/HeavensDivide/FangBuild.cpp:15</x:v>
      </x:c>
    </x:row>
  </x:sheetData>
  <x:mergeCells>
    <x:mergeCell ref="A2:F2"/>
    <x:mergeCell ref="A3:F3"/>
  </x:mergeCells>
  <x:conditionalFormatting sqref="J6:J155">
    <x:cfRule type="containsText" dxfId="0" priority="1" operator="containsText" text="Unavailable"/>
  </x:conditionalFormatting>
  <x:pageMargins left="0.7" right="0.7" top="0.75" bottom="0.75" header="0.3" footer="0.3"/>
  <x:tableParts count="1">
    <x:tablePart xmlns:r="http://schemas.openxmlformats.org/officeDocument/2006/relationships" r:id="R69b2109c23a3490e"/>
  </x:tableParts>
</x:worksheet>
</file>

<file path=xl/worksheets/sheet4.xml><?xml version="1.0" encoding="utf-8"?>
<x:worksheet xmlns:x="http://schemas.openxmlformats.org/spreadsheetml/2006/main">
  <x:sheetPr>
    <x:tabColor rgb="FF176B7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5.630000114440918" hidden="0" customWidth="1"/>
    <x:col min="2" max="2" width="21.25" hidden="0" customWidth="1"/>
    <x:col min="3" max="3" width="26.25" hidden="0" customWidth="1"/>
    <x:col min="4" max="4" width="11.25" hidden="0" customWidth="1"/>
    <x:col min="5" max="5" width="22.5" hidden="0" customWidth="1"/>
    <x:col min="6" max="6" width="11.25" hidden="0" customWidth="1"/>
    <x:col min="7" max="7" width="18.1299991607666" hidden="0" customWidth="1"/>
    <x:col min="8" max="8" width="8.75" hidden="0" customWidth="1"/>
    <x:col min="9" max="9" width="13.75" hidden="0" customWidth="1"/>
    <x:col min="10" max="10" width="65" hidden="0" customWidth="1"/>
    <x:col min="11" max="11" width="20.6299991607666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9" customHeight="1">
      <x:c r="A2" s="3" t="str">
        <x:v>Rank-by-rank numeric contributions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4" customHeight="1">
      <x:c r="A3" s="5" t="str">
        <x:v>Per-rank inputs are saved values. Total at cap is the added contribution, before runtime caps or multipliers. Rolled totals assume every purchased rank has the same rarity.</x:v>
      </x:c>
      <x:c r="B3" s="6"/>
      <x:c r="C3" s="6"/>
      <x:c r="D3" s="6"/>
      <x:c r="E3" s="6"/>
      <x:c r="F3" s="6"/>
      <x:c r="G3" s="6"/>
      <x:c r="H3" s="6"/>
      <x:c r="I3" s="2"/>
      <x:c r="J3" s="2"/>
      <x:c r="K3" s="2"/>
    </x:row>
    <x:row r="4" ht="8" customHeight="1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</x:row>
    <x:row r="5" ht="34" customHeight="1">
      <x:c r="A5" s="12" t="str">
        <x:v>Stance / scope</x:v>
      </x:c>
      <x:c r="B5" s="12" t="str">
        <x:v>Upgrade</x:v>
      </x:c>
      <x:c r="C5" s="12" t="str">
        <x:v>Stable ID</x:v>
      </x:c>
      <x:c r="D5" s="12" t="str">
        <x:v>Rarity</x:v>
      </x:c>
      <x:c r="E5" s="12" t="str">
        <x:v>Scaling metric</x:v>
      </x:c>
      <x:c r="F5" s="12" t="str">
        <x:v>Per rank</x:v>
      </x:c>
      <x:c r="G5" s="12" t="str">
        <x:v>Unit</x:v>
      </x:c>
      <x:c r="H5" s="12" t="str">
        <x:v>Rank cap</x:v>
      </x:c>
      <x:c r="I5" s="12" t="str">
        <x:v>Total at cap</x:v>
      </x:c>
      <x:c r="J5" s="12" t="str">
        <x:v>How the contribution is used</x:v>
      </x:c>
      <x:c r="K5" s="12" t="str">
        <x:v>Availability</x:v>
      </x:c>
    </x:row>
    <x:row r="6" ht="38" customHeight="1">
      <x:c r="A6" s="6" t="str">
        <x:v>Blood</x:v>
      </x:c>
      <x:c r="B6" s="6" t="str">
        <x:v>Attack Area</x:v>
      </x:c>
      <x:c r="C6" s="6" t="str">
        <x:v>SamuraiArea</x:v>
      </x:c>
      <x:c r="D6" s="6" t="str">
        <x:v>Common</x:v>
      </x:c>
      <x:c r="E6" s="6" t="str">
        <x:v>Accumulated magnitude</x:v>
      </x:c>
      <x:c r="F6" s="15" t="n">
        <x:v>0.15</x:v>
      </x:c>
      <x:c r="G6" s="6" t="str">
        <x:v>fraction</x:v>
      </x:c>
      <x:c r="H6" s="6" t="n">
        <x:v>5</x:v>
      </x:c>
      <x:c r="I6" s="16" t="n">
        <x:f>F6*H6</x:f>
        <x:v>0.75</x:v>
      </x:c>
      <x:c r="J6" s="6" t="str">
        <x:v>Blood uses rolled 15/25/40% ranks. Converts to Iaijutsu width or Crescent travel range. Does not enlarge Blood Transfer/Detonation.</x:v>
      </x:c>
      <x:c r="K6" s="6" t="str">
        <x:v>Active</x:v>
      </x:c>
    </x:row>
    <x:row r="7" ht="38" customHeight="1">
      <x:c r="A7" s="6" t="str">
        <x:v>Blood</x:v>
      </x:c>
      <x:c r="B7" s="6" t="str">
        <x:v>Attack Area</x:v>
      </x:c>
      <x:c r="C7" s="6" t="str">
        <x:v>SamuraiArea</x:v>
      </x:c>
      <x:c r="D7" s="6" t="str">
        <x:v>Rare</x:v>
      </x:c>
      <x:c r="E7" s="6" t="str">
        <x:v>Accumulated magnitude</x:v>
      </x:c>
      <x:c r="F7" s="15" t="n">
        <x:v>0.25</x:v>
      </x:c>
      <x:c r="G7" s="6" t="str">
        <x:v>fraction</x:v>
      </x:c>
      <x:c r="H7" s="6" t="n">
        <x:v>5</x:v>
      </x:c>
      <x:c r="I7" s="16" t="n">
        <x:f>F7*H7</x:f>
        <x:v>1.25</x:v>
      </x:c>
      <x:c r="J7" s="6" t="str">
        <x:v>Blood uses rolled 15/25/40% ranks. Converts to Iaijutsu width or Crescent travel range. Does not enlarge Blood Transfer/Detonation.</x:v>
      </x:c>
      <x:c r="K7" s="6" t="str">
        <x:v>Active</x:v>
      </x:c>
    </x:row>
    <x:row r="8" ht="38" customHeight="1">
      <x:c r="A8" s="6" t="str">
        <x:v>Blood</x:v>
      </x:c>
      <x:c r="B8" s="6" t="str">
        <x:v>Attack Area</x:v>
      </x:c>
      <x:c r="C8" s="6" t="str">
        <x:v>SamuraiArea</x:v>
      </x:c>
      <x:c r="D8" s="6" t="str">
        <x:v>Epic</x:v>
      </x:c>
      <x:c r="E8" s="6" t="str">
        <x:v>Accumulated magnitude</x:v>
      </x:c>
      <x:c r="F8" s="15" t="n">
        <x:v>0.4</x:v>
      </x:c>
      <x:c r="G8" s="6" t="str">
        <x:v>fraction</x:v>
      </x:c>
      <x:c r="H8" s="6" t="n">
        <x:v>5</x:v>
      </x:c>
      <x:c r="I8" s="16" t="n">
        <x:f>F8*H8</x:f>
        <x:v>2</x:v>
      </x:c>
      <x:c r="J8" s="6" t="str">
        <x:v>Blood uses rolled 15/25/40% ranks. Converts to Iaijutsu width or Crescent travel range. Does not enlarge Blood Transfer/Detonation.</x:v>
      </x:c>
      <x:c r="K8" s="6" t="str">
        <x:v>Active</x:v>
      </x:c>
    </x:row>
    <x:row r="9" ht="38" customHeight="1">
      <x:c r="A9" s="6" t="str">
        <x:v>Blood</x:v>
      </x:c>
      <x:c r="B9" s="6" t="str">
        <x:v>Attack Damage</x:v>
      </x:c>
      <x:c r="C9" s="6" t="str">
        <x:v>SamuraiHeavyBlade</x:v>
      </x:c>
      <x:c r="D9" s="6" t="str">
        <x:v>Common</x:v>
      </x:c>
      <x:c r="E9" s="6" t="str">
        <x:v>Accumulated magnitude</x:v>
      </x:c>
      <x:c r="F9" s="15" t="n">
        <x:v>0.2</x:v>
      </x:c>
      <x:c r="G9" s="6" t="str">
        <x:v>fraction</x:v>
      </x:c>
      <x:c r="H9" s="6" t="n">
        <x:v>5</x:v>
      </x:c>
      <x:c r="I9" s="16" t="n">
        <x:f>F9*H9</x:f>
        <x:v>1</x:v>
      </x:c>
      <x:c r="J9" s="6" t="str">
        <x:v>Blood uses rolled 20/30/40% ranks. Existing investment converts proportionally to Iaijutsu Damage or Wave Damage when a stance is selected/restored.</x:v>
      </x:c>
      <x:c r="K9" s="6" t="str">
        <x:v>Active</x:v>
      </x:c>
    </x:row>
    <x:row r="10" ht="38" customHeight="1">
      <x:c r="A10" s="6" t="str">
        <x:v>Blood</x:v>
      </x:c>
      <x:c r="B10" s="6" t="str">
        <x:v>Attack Damage</x:v>
      </x:c>
      <x:c r="C10" s="6" t="str">
        <x:v>SamuraiHeavyBlade</x:v>
      </x:c>
      <x:c r="D10" s="6" t="str">
        <x:v>Rare</x:v>
      </x:c>
      <x:c r="E10" s="6" t="str">
        <x:v>Accumulated magnitude</x:v>
      </x:c>
      <x:c r="F10" s="15" t="n">
        <x:v>0.3</x:v>
      </x:c>
      <x:c r="G10" s="6" t="str">
        <x:v>fraction</x:v>
      </x:c>
      <x:c r="H10" s="6" t="n">
        <x:v>5</x:v>
      </x:c>
      <x:c r="I10" s="16" t="n">
        <x:f>F10*H10</x:f>
        <x:v>1.5</x:v>
      </x:c>
      <x:c r="J10" s="6" t="str">
        <x:v>Blood uses rolled 20/30/40% ranks. Existing investment converts proportionally to Iaijutsu Damage or Wave Damage when a stance is selected/restored.</x:v>
      </x:c>
      <x:c r="K10" s="6" t="str">
        <x:v>Active</x:v>
      </x:c>
    </x:row>
    <x:row r="11" ht="38" customHeight="1">
      <x:c r="A11" s="6" t="str">
        <x:v>Blood</x:v>
      </x:c>
      <x:c r="B11" s="6" t="str">
        <x:v>Attack Damage</x:v>
      </x:c>
      <x:c r="C11" s="6" t="str">
        <x:v>SamuraiHeavyBlade</x:v>
      </x:c>
      <x:c r="D11" s="6" t="str">
        <x:v>Epic</x:v>
      </x:c>
      <x:c r="E11" s="6" t="str">
        <x:v>Accumulated magnitude</x:v>
      </x:c>
      <x:c r="F11" s="15" t="n">
        <x:v>0.4</x:v>
      </x:c>
      <x:c r="G11" s="6" t="str">
        <x:v>fraction</x:v>
      </x:c>
      <x:c r="H11" s="6" t="n">
        <x:v>5</x:v>
      </x:c>
      <x:c r="I11" s="16" t="n">
        <x:f>F11*H11</x:f>
        <x:v>2</x:v>
      </x:c>
      <x:c r="J11" s="6" t="str">
        <x:v>Blood uses rolled 20/30/40% ranks. Existing investment converts proportionally to Iaijutsu Damage or Wave Damage when a stance is selected/restored.</x:v>
      </x:c>
      <x:c r="K11" s="6" t="str">
        <x:v>Active</x:v>
      </x:c>
    </x:row>
    <x:row r="12" ht="38" customHeight="1">
      <x:c r="A12" s="6" t="str">
        <x:v>Blood</x:v>
      </x:c>
      <x:c r="B12" s="6" t="str">
        <x:v>Attack Speed</x:v>
      </x:c>
      <x:c r="C12" s="6" t="str">
        <x:v>SamuraiTempo</x:v>
      </x:c>
      <x:c r="D12" s="6" t="str">
        <x:v>Common</x:v>
      </x:c>
      <x:c r="E12" s="6" t="str">
        <x:v>Accumulated magnitude</x:v>
      </x:c>
      <x:c r="F12" s="15" t="n">
        <x:v>0.1</x:v>
      </x:c>
      <x:c r="G12" s="6" t="str">
        <x:v>fraction</x:v>
      </x:c>
      <x:c r="H12" s="6" t="n">
        <x:v>5</x:v>
      </x:c>
      <x:c r="I12" s="16" t="n">
        <x:f>F12*H12</x:f>
        <x:v>0.5</x:v>
      </x:c>
      <x:c r="J12" s="6" t="str">
        <x:v>Blood uses rolled 10/15/20% ranks. Converts to Iaijutsu charge speed or Crescent wave travel speed, not their attack rate.</x:v>
      </x:c>
      <x:c r="K12" s="6" t="str">
        <x:v>Active</x:v>
      </x:c>
    </x:row>
    <x:row r="13" ht="38" customHeight="1">
      <x:c r="A13" s="6" t="str">
        <x:v>Blood</x:v>
      </x:c>
      <x:c r="B13" s="6" t="str">
        <x:v>Attack Speed</x:v>
      </x:c>
      <x:c r="C13" s="6" t="str">
        <x:v>SamuraiTempo</x:v>
      </x:c>
      <x:c r="D13" s="6" t="str">
        <x:v>Rare</x:v>
      </x:c>
      <x:c r="E13" s="6" t="str">
        <x:v>Accumulated magnitude</x:v>
      </x:c>
      <x:c r="F13" s="15" t="n">
        <x:v>0.15</x:v>
      </x:c>
      <x:c r="G13" s="6" t="str">
        <x:v>fraction</x:v>
      </x:c>
      <x:c r="H13" s="6" t="n">
        <x:v>5</x:v>
      </x:c>
      <x:c r="I13" s="16" t="n">
        <x:f>F13*H13</x:f>
        <x:v>0.75</x:v>
      </x:c>
      <x:c r="J13" s="6" t="str">
        <x:v>Blood uses rolled 10/15/20% ranks. Converts to Iaijutsu charge speed or Crescent wave travel speed, not their attack rate.</x:v>
      </x:c>
      <x:c r="K13" s="6" t="str">
        <x:v>Active</x:v>
      </x:c>
    </x:row>
    <x:row r="14" ht="38" customHeight="1">
      <x:c r="A14" s="6" t="str">
        <x:v>Blood</x:v>
      </x:c>
      <x:c r="B14" s="6" t="str">
        <x:v>Attack Speed</x:v>
      </x:c>
      <x:c r="C14" s="6" t="str">
        <x:v>SamuraiTempo</x:v>
      </x:c>
      <x:c r="D14" s="6" t="str">
        <x:v>Epic</x:v>
      </x:c>
      <x:c r="E14" s="6" t="str">
        <x:v>Accumulated magnitude</x:v>
      </x:c>
      <x:c r="F14" s="15" t="n">
        <x:v>0.2</x:v>
      </x:c>
      <x:c r="G14" s="6" t="str">
        <x:v>fraction</x:v>
      </x:c>
      <x:c r="H14" s="6" t="n">
        <x:v>5</x:v>
      </x:c>
      <x:c r="I14" s="16" t="n">
        <x:f>F14*H14</x:f>
        <x:v>1</x:v>
      </x:c>
      <x:c r="J14" s="6" t="str">
        <x:v>Blood uses rolled 10/15/20% ranks. Converts to Iaijutsu charge speed or Crescent wave travel speed, not their attack rate.</x:v>
      </x:c>
      <x:c r="K14" s="6" t="str">
        <x:v>Active</x:v>
      </x:c>
    </x:row>
    <x:row r="15" ht="38" customHeight="1">
      <x:c r="A15" s="6" t="str">
        <x:v>Blood</x:v>
      </x:c>
      <x:c r="B15" s="6" t="str">
        <x:v>Bloodletting</x:v>
      </x:c>
      <x:c r="C15" s="6" t="str">
        <x:v>Bloodletting</x:v>
      </x:c>
      <x:c r="D15" s="6" t="str">
        <x:v>Fixed</x:v>
      </x:c>
      <x:c r="E15" s="6" t="str">
        <x:v>PerRank</x:v>
      </x:c>
      <x:c r="F15" s="13" t="n">
        <x:v>1</x:v>
      </x:c>
      <x:c r="G15" s="6" t="str">
        <x:v>stacks</x:v>
      </x:c>
      <x:c r="H15" s="6" t="n">
        <x:v>5</x:v>
      </x:c>
      <x:c r="I15" s="17" t="n">
        <x:f>F15*H15</x:f>
        <x:v>5</x:v>
      </x:c>
      <x:c r="J15" s="6" t="str">
        <x:v>Adds stacks per hit, then clamps to the current stack cap. Rank 5 has no extra stack benefit without at least one Deep Reserves rank (F01).</x:v>
      </x:c>
      <x:c r="K15" s="6" t="str">
        <x:v>Active</x:v>
      </x:c>
    </x:row>
    <x:row r="16" ht="38" customHeight="1">
      <x:c r="A16" s="6" t="str">
        <x:v>Blood</x:v>
      </x:c>
      <x:c r="B16" s="6" t="str">
        <x:v>Crimson Reach</x:v>
      </x:c>
      <x:c r="C16" s="6" t="str">
        <x:v>BloodTransferArea</x:v>
      </x:c>
      <x:c r="D16" s="6" t="str">
        <x:v>Fixed</x:v>
      </x:c>
      <x:c r="E16" s="6" t="str">
        <x:v>PerRank</x:v>
      </x:c>
      <x:c r="F16" s="15" t="n">
        <x:v>0.1</x:v>
      </x:c>
      <x:c r="G16" s="6" t="str">
        <x:v>fraction</x:v>
      </x:c>
      <x:c r="H16" s="6" t="n">
        <x:v>5</x:v>
      </x:c>
      <x:c r="I16" s="16" t="n">
        <x:f>F16*H16</x:f>
        <x:v>0.5</x:v>
      </x:c>
      <x:c r="J16" s="6" t="str">
        <x:v>Available after Blood Transfer OR Blood Detonation. Radius 300 to 450 cm at max rank. Independent of attack area and permanent coverage.</x:v>
      </x:c>
      <x:c r="K16" s="6" t="str">
        <x:v>Active</x:v>
      </x:c>
    </x:row>
    <x:row r="17" ht="38" customHeight="1">
      <x:c r="A17" s="6" t="str">
        <x:v>Blood</x:v>
      </x:c>
      <x:c r="B17" s="6" t="str">
        <x:v>Deep Reserves</x:v>
      </x:c>
      <x:c r="C17" s="6" t="str">
        <x:v>BloodCapacity</x:v>
      </x:c>
      <x:c r="D17" s="6" t="str">
        <x:v>Fixed</x:v>
      </x:c>
      <x:c r="E17" s="6" t="str">
        <x:v>PerRank</x:v>
      </x:c>
      <x:c r="F17" s="13" t="n">
        <x:v>1</x:v>
      </x:c>
      <x:c r="G17" s="6" t="str">
        <x:v>stacks</x:v>
      </x:c>
      <x:c r="H17" s="6" t="n">
        <x:v>5</x:v>
      </x:c>
      <x:c r="I17" s="17" t="n">
        <x:f>F17*H17</x:f>
        <x:v>5</x:v>
      </x:c>
      <x:c r="J17" s="6" t="str">
        <x:v>Raises the per-enemy cap from 5 to 10. Detonation needs the new cap too, so more capacity also delays its trigger.</x:v>
      </x:c>
      <x:c r="K17" s="6" t="str">
        <x:v>Active</x:v>
      </x:c>
    </x:row>
    <x:row r="18" ht="38" customHeight="1">
      <x:c r="A18" s="6" t="str">
        <x:v>Blood</x:v>
      </x:c>
      <x:c r="B18" s="6" t="str">
        <x:v>Echo Mastery</x:v>
      </x:c>
      <x:c r="C18" s="6" t="str">
        <x:v>BloodEchoChance</x:v>
      </x:c>
      <x:c r="D18" s="6" t="str">
        <x:v>Fixed</x:v>
      </x:c>
      <x:c r="E18" s="6" t="str">
        <x:v>PerRank</x:v>
      </x:c>
      <x:c r="F18" s="15" t="n">
        <x:v>0.1</x:v>
      </x:c>
      <x:c r="G18" s="6" t="str">
        <x:v>probability / bonus points</x:v>
      </x:c>
      <x:c r="H18" s="6" t="n">
        <x:v>5</x:v>
      </x:c>
      <x:c r="I18" s="16" t="n">
        <x:f>F18*H18</x:f>
        <x:v>0.5</x:v>
      </x:c>
      <x:c r="J18" s="6" t="str">
        <x:v>Saved base 20% + 10 percentage points per rank = 70% at rank 5.</x:v>
      </x:c>
      <x:c r="K18" s="6" t="str">
        <x:v>Active</x:v>
      </x:c>
    </x:row>
    <x:row r="19" ht="38" customHeight="1">
      <x:c r="A19" s="6" t="str">
        <x:v>Blood</x:v>
      </x:c>
      <x:c r="B19" s="6" t="str">
        <x:v>Keen Edge</x:v>
      </x:c>
      <x:c r="C19" s="6" t="str">
        <x:v>BloodCriticalChance</x:v>
      </x:c>
      <x:c r="D19" s="6" t="str">
        <x:v>Fixed</x:v>
      </x:c>
      <x:c r="E19" s="6" t="str">
        <x:v>PerRank</x:v>
      </x:c>
      <x:c r="F19" s="15" t="n">
        <x:v>0.1</x:v>
      </x:c>
      <x:c r="G19" s="6" t="str">
        <x:v>probability / bonus points</x:v>
      </x:c>
      <x:c r="H19" s="6" t="n">
        <x:v>5</x:v>
      </x:c>
      <x:c r="I19" s="16" t="n">
        <x:f>F19*H19</x:f>
        <x:v>0.5</x:v>
      </x:c>
      <x:c r="J19" s="6" t="str">
        <x:v>15% base + 10 percentage points per rank = 65% at rank 5.</x:v>
      </x:c>
      <x:c r="K19" s="6" t="str">
        <x:v>Active</x:v>
      </x:c>
    </x:row>
    <x:row r="20" ht="38" customHeight="1">
      <x:c r="A20" s="6" t="str">
        <x:v>Blood</x:v>
      </x:c>
      <x:c r="B20" s="6" t="str">
        <x:v>Lingering Wounds</x:v>
      </x:c>
      <x:c r="C20" s="6" t="str">
        <x:v>LingeringWounds</x:v>
      </x:c>
      <x:c r="D20" s="6" t="str">
        <x:v>Fixed</x:v>
      </x:c>
      <x:c r="E20" s="6" t="str">
        <x:v>PerRank</x:v>
      </x:c>
      <x:c r="F20" s="13" t="n">
        <x:v>1</x:v>
      </x:c>
      <x:c r="G20" s="6" t="str">
        <x:v>seconds</x:v>
      </x:c>
      <x:c r="H20" s="6" t="n">
        <x:v>3</x:v>
      </x:c>
      <x:c r="I20" s="17" t="n">
        <x:f>F20*H20</x:f>
        <x:v>3</x:v>
      </x:c>
      <x:c r="J20" s="6" t="str">
        <x:v>3 to 6 seconds at max rank. Tick damage stays unchanged, so full uninterrupted bleed budget doubles. Hits refresh all active stacks.</x:v>
      </x:c>
      <x:c r="K20" s="6" t="str">
        <x:v>Active</x:v>
      </x:c>
    </x:row>
    <x:row r="21" ht="38" customHeight="1">
      <x:c r="A21" s="6" t="str">
        <x:v>Blood</x:v>
      </x:c>
      <x:c r="B21" s="6" t="str">
        <x:v>Reinforcements</x:v>
      </x:c>
      <x:c r="C21" s="6" t="str">
        <x:v>BloodAssistChance</x:v>
      </x:c>
      <x:c r="D21" s="6" t="str">
        <x:v>Fixed</x:v>
      </x:c>
      <x:c r="E21" s="6" t="str">
        <x:v>PerRank</x:v>
      </x:c>
      <x:c r="F21" s="15" t="n">
        <x:v>0.05</x:v>
      </x:c>
      <x:c r="G21" s="6" t="str">
        <x:v>probability / bonus points</x:v>
      </x:c>
      <x:c r="H21" s="6" t="n">
        <x:v>5</x:v>
      </x:c>
      <x:c r="I21" s="16" t="n">
        <x:f>F21*H21</x:f>
        <x:v>0.25</x:v>
      </x:c>
      <x:c r="J21" s="6" t="str">
        <x:v>Base 5% + 5 percentage points/rank = 30% at rank 5.</x:v>
      </x:c>
      <x:c r="K21" s="6" t="str">
        <x:v>Active</x:v>
      </x:c>
    </x:row>
    <x:row r="22" ht="38" customHeight="1">
      <x:c r="A22" s="6" t="str">
        <x:v>Blood</x:v>
      </x:c>
      <x:c r="B22" s="6" t="str">
        <x:v>Relentless Cuts</x:v>
      </x:c>
      <x:c r="C22" s="6" t="str">
        <x:v>DoubleCutFrequency</x:v>
      </x:c>
      <x:c r="D22" s="6" t="str">
        <x:v>Fixed</x:v>
      </x:c>
      <x:c r="E22" s="6" t="str">
        <x:v>PerRank</x:v>
      </x:c>
      <x:c r="F22" s="13" t="n">
        <x:v>1</x:v>
      </x:c>
      <x:c r="G22" s="6" t="str">
        <x:v>fewer attacks</x:v>
      </x:c>
      <x:c r="H22" s="6" t="n">
        <x:v>3</x:v>
      </x:c>
      <x:c r="I22" s="17" t="n">
        <x:f>F22*H22</x:f>
        <x:v>3</x:v>
      </x:c>
      <x:c r="J22" s="6" t="str">
        <x:v>Base every fourth attack/launch; ranks 1/2/3 reduce cadence to every third/second/first. Effective cap min(card cap, global cadence cap=3).</x:v>
      </x:c>
      <x:c r="K22" s="6" t="str">
        <x:v>Active</x:v>
      </x:c>
    </x:row>
    <x:row r="23" ht="38" customHeight="1">
      <x:c r="A23" s="6" t="str">
        <x:v>Iaijutsu</x:v>
      </x:c>
      <x:c r="B23" s="6" t="str">
        <x:v>Charge Speed</x:v>
      </x:c>
      <x:c r="C23" s="6" t="str">
        <x:v>IaijutsuChargeSpeed</x:v>
      </x:c>
      <x:c r="D23" s="6" t="str">
        <x:v>Fixed</x:v>
      </x:c>
      <x:c r="E23" s="6" t="str">
        <x:v>PerRank</x:v>
      </x:c>
      <x:c r="F23" s="15" t="n">
        <x:v>0.15</x:v>
      </x:c>
      <x:c r="G23" s="6" t="str">
        <x:v>fraction</x:v>
      </x:c>
      <x:c r="H23" s="6" t="n">
        <x:v>5</x:v>
      </x:c>
      <x:c r="I23" s="16" t="n">
        <x:f>F23*H23</x:f>
        <x:v>0.75</x:v>
      </x:c>
      <x:c r="J23" s="6" t="str">
        <x:v>Divides charge duration by 1 + rank bonus + permanent charge bonus. Rank 5 alone gives 2/1.75 = 1.143 s, before recovery.</x:v>
      </x:c>
      <x:c r="K23" s="6" t="str">
        <x:v>Active</x:v>
      </x:c>
    </x:row>
    <x:row r="24" ht="38" customHeight="1">
      <x:c r="A24" s="6" t="str">
        <x:v>Iaijutsu</x:v>
      </x:c>
      <x:c r="B24" s="6" t="str">
        <x:v>Deadly Cascade</x:v>
      </x:c>
      <x:c r="C24" s="6" t="str">
        <x:v>IaijutsuCascadePower</x:v>
      </x:c>
      <x:c r="D24" s="6" t="str">
        <x:v>Fixed</x:v>
      </x:c>
      <x:c r="E24" s="6" t="str">
        <x:v>PerRank</x:v>
      </x:c>
      <x:c r="F24" s="15" t="n">
        <x:v>0.2</x:v>
      </x:c>
      <x:c r="G24" s="6" t="str">
        <x:v>fraction</x:v>
      </x:c>
      <x:c r="H24" s="6" t="n">
        <x:v>5</x:v>
      </x:c>
      <x:c r="I24" s="16" t="n">
        <x:f>F24*H24</x:f>
        <x:v>1</x:v>
      </x:c>
      <x:c r="J24" s="6" t="str">
        <x:v>Additive contribution across purchased ranks. Final multiplicative stats and conditional effects are shown in mechanics/interactions.</x:v>
      </x:c>
      <x:c r="K24" s="6" t="str">
        <x:v>Active</x:v>
      </x:c>
    </x:row>
    <x:row r="25" ht="38" customHeight="1">
      <x:c r="A25" s="6" t="str">
        <x:v>Iaijutsu</x:v>
      </x:c>
      <x:c r="B25" s="6" t="str">
        <x:v>Driving Draw</x:v>
      </x:c>
      <x:c r="C25" s="6" t="str">
        <x:v>IaijutsuDashPower</x:v>
      </x:c>
      <x:c r="D25" s="6" t="str">
        <x:v>Fixed</x:v>
      </x:c>
      <x:c r="E25" s="6" t="str">
        <x:v>PerRank</x:v>
      </x:c>
      <x:c r="F25" s="15" t="n">
        <x:v>0.2</x:v>
      </x:c>
      <x:c r="G25" s="6" t="str">
        <x:v>fraction</x:v>
      </x:c>
      <x:c r="H25" s="6" t="n">
        <x:v>5</x:v>
      </x:c>
      <x:c r="I25" s="16" t="n">
        <x:f>F25*H25</x:f>
        <x:v>1</x:v>
      </x:c>
      <x:c r="J25" s="6" t="str">
        <x:v>Additive contribution across purchased ranks. Final multiplicative stats and conditional effects are shown in mechanics/interactions.</x:v>
      </x:c>
      <x:c r="K25" s="6" t="str">
        <x:v>Active</x:v>
      </x:c>
    </x:row>
    <x:row r="26" ht="38" customHeight="1">
      <x:c r="A26" s="6" t="str">
        <x:v>Iaijutsu</x:v>
      </x:c>
      <x:c r="B26" s="6" t="str">
        <x:v>Exposed Weakness</x:v>
      </x:c>
      <x:c r="C26" s="6" t="str">
        <x:v>IaijutsuMarkDamage</x:v>
      </x:c>
      <x:c r="D26" s="6" t="str">
        <x:v>Fixed</x:v>
      </x:c>
      <x:c r="E26" s="6" t="str">
        <x:v>PerRank</x:v>
      </x:c>
      <x:c r="F26" s="15" t="n">
        <x:v>0.1</x:v>
      </x:c>
      <x:c r="G26" s="6" t="str">
        <x:v>probability / bonus points</x:v>
      </x:c>
      <x:c r="H26" s="6" t="n">
        <x:v>5</x:v>
      </x:c>
      <x:c r="I26" s="16" t="n">
        <x:f>F26*H26</x:f>
        <x:v>0.5</x:v>
      </x:c>
      <x:c r="J26" s="6" t="str">
        <x:v>Adds to the 50% mark bonus, reaching +100%. Focused Malice doubles the bonus. Relentless Steps converts purchased ranks to damage.</x:v>
      </x:c>
      <x:c r="K26" s="6" t="str">
        <x:v>Active</x:v>
      </x:c>
    </x:row>
    <x:row r="27" ht="38" customHeight="1">
      <x:c r="A27" s="6" t="str">
        <x:v>Iaijutsu</x:v>
      </x:c>
      <x:c r="B27" s="6" t="str">
        <x:v>Flash Mastery</x:v>
      </x:c>
      <x:c r="C27" s="6" t="str">
        <x:v>IaijutsuInstantChance</x:v>
      </x:c>
      <x:c r="D27" s="6" t="str">
        <x:v>Fixed</x:v>
      </x:c>
      <x:c r="E27" s="6" t="str">
        <x:v>PerRank</x:v>
      </x:c>
      <x:c r="F27" s="15" t="n">
        <x:v>0.05</x:v>
      </x:c>
      <x:c r="G27" s="6" t="str">
        <x:v>probability / bonus points</x:v>
      </x:c>
      <x:c r="H27" s="6" t="n">
        <x:v>5</x:v>
      </x:c>
      <x:c r="I27" s="16" t="n">
        <x:f>F27*H27</x:f>
        <x:v>0.25</x:v>
      </x:c>
      <x:c r="J27" s="6" t="str">
        <x:v>Saved base 15% + 5 percentage points per rank = 40% at rank 5.</x:v>
      </x:c>
      <x:c r="K27" s="6" t="str">
        <x:v>Active</x:v>
      </x:c>
    </x:row>
    <x:row r="28" ht="38" customHeight="1">
      <x:c r="A28" s="6" t="str">
        <x:v>Iaijutsu</x:v>
      </x:c>
      <x:c r="B28" s="6" t="str">
        <x:v>Flourish Mastery</x:v>
      </x:c>
      <x:c r="C28" s="6" t="str">
        <x:v>IaijutsuAOEChance</x:v>
      </x:c>
      <x:c r="D28" s="6" t="str">
        <x:v>Fixed</x:v>
      </x:c>
      <x:c r="E28" s="6" t="str">
        <x:v>PerRank</x:v>
      </x:c>
      <x:c r="F28" s="15" t="n">
        <x:v>0.1</x:v>
      </x:c>
      <x:c r="G28" s="6" t="str">
        <x:v>probability / bonus points</x:v>
      </x:c>
      <x:c r="H28" s="6" t="n">
        <x:v>5</x:v>
      </x:c>
      <x:c r="I28" s="16" t="n">
        <x:f>F28*H28</x:f>
        <x:v>0.5</x:v>
      </x:c>
      <x:c r="J28" s="6" t="str">
        <x:v>15% base + 10 percentage points per rank = 65% at rank 5.</x:v>
      </x:c>
      <x:c r="K28" s="6" t="str">
        <x:v>Active</x:v>
      </x:c>
    </x:row>
    <x:row r="29" ht="38" customHeight="1">
      <x:c r="A29" s="6" t="str">
        <x:v>Iaijutsu</x:v>
      </x:c>
      <x:c r="B29" s="6" t="str">
        <x:v>Gathering Wind</x:v>
      </x:c>
      <x:c r="C29" s="6" t="str">
        <x:v>IaijutsuVacuumReach</x:v>
      </x:c>
      <x:c r="D29" s="6" t="str">
        <x:v>Fixed</x:v>
      </x:c>
      <x:c r="E29" s="6" t="str">
        <x:v>PerRank</x:v>
      </x:c>
      <x:c r="F29" s="15" t="n">
        <x:v>0.15</x:v>
      </x:c>
      <x:c r="G29" s="6" t="str">
        <x:v>fraction</x:v>
      </x:c>
      <x:c r="H29" s="6" t="n">
        <x:v>5</x:v>
      </x:c>
      <x:c r="I29" s="16" t="n">
        <x:f>F29*H29</x:f>
        <x:v>0.75</x:v>
      </x:c>
      <x:c r="J29" s="6" t="str">
        <x:v>Only extra reach outside the lane: 60 to 105 cm. Pull occurs during the final 0.2 s of charge and 0.3 s after impact, at 720 cm/s.</x:v>
      </x:c>
      <x:c r="K29" s="6" t="str">
        <x:v>Active</x:v>
      </x:c>
    </x:row>
    <x:row r="30" ht="38" customHeight="1">
      <x:c r="A30" s="6" t="str">
        <x:v>Iaijutsu</x:v>
      </x:c>
      <x:c r="B30" s="6" t="str">
        <x:v>Iaijutsu Damage</x:v>
      </x:c>
      <x:c r="C30" s="6" t="str">
        <x:v>IaijutsuDamage</x:v>
      </x:c>
      <x:c r="D30" s="6" t="str">
        <x:v>Fixed</x:v>
      </x:c>
      <x:c r="E30" s="6" t="str">
        <x:v>PerRank</x:v>
      </x:c>
      <x:c r="F30" s="15" t="n">
        <x:v>0.2</x:v>
      </x:c>
      <x:c r="G30" s="6" t="str">
        <x:v>fraction</x:v>
      </x:c>
      <x:c r="H30" s="6" t="n">
        <x:v>5</x:v>
      </x:c>
      <x:c r="I30" s="16" t="n">
        <x:f>F30*H30</x:f>
        <x:v>1</x:v>
      </x:c>
      <x:c r="J30" s="6" t="str">
        <x:v>Additive contribution across purchased ranks. Final multiplicative stats and conditional effects are shown in mechanics/interactions.</x:v>
      </x:c>
      <x:c r="K30" s="6" t="str">
        <x:v>Active</x:v>
      </x:c>
    </x:row>
    <x:row r="31" ht="38" customHeight="1">
      <x:c r="A31" s="6" t="str">
        <x:v>Iaijutsu</x:v>
      </x:c>
      <x:c r="B31" s="6" t="str">
        <x:v>Reinforcements</x:v>
      </x:c>
      <x:c r="C31" s="6" t="str">
        <x:v>IaijutsuAssistChance</x:v>
      </x:c>
      <x:c r="D31" s="6" t="str">
        <x:v>Fixed</x:v>
      </x:c>
      <x:c r="E31" s="6" t="str">
        <x:v>PerRank</x:v>
      </x:c>
      <x:c r="F31" s="15" t="n">
        <x:v>0.05</x:v>
      </x:c>
      <x:c r="G31" s="6" t="str">
        <x:v>probability / bonus points</x:v>
      </x:c>
      <x:c r="H31" s="6" t="n">
        <x:v>5</x:v>
      </x:c>
      <x:c r="I31" s="16" t="n">
        <x:f>F31*H31</x:f>
        <x:v>0.25</x:v>
      </x:c>
      <x:c r="J31" s="6" t="str">
        <x:v>Base 5% + 5 percentage points/rank = 30% at rank 5.</x:v>
      </x:c>
      <x:c r="K31" s="6" t="str">
        <x:v>Active</x:v>
      </x:c>
    </x:row>
    <x:row r="32" ht="38" customHeight="1">
      <x:c r="A32" s="6" t="str">
        <x:v>Iaijutsu</x:v>
      </x:c>
      <x:c r="B32" s="6" t="str">
        <x:v>Relentless Cuts</x:v>
      </x:c>
      <x:c r="C32" s="6" t="str">
        <x:v>IaijutsuDoubleCutFrequency</x:v>
      </x:c>
      <x:c r="D32" s="6" t="str">
        <x:v>Fixed</x:v>
      </x:c>
      <x:c r="E32" s="6" t="str">
        <x:v>PerRank</x:v>
      </x:c>
      <x:c r="F32" s="13" t="n">
        <x:v>1</x:v>
      </x:c>
      <x:c r="G32" s="6" t="str">
        <x:v>fewer attacks</x:v>
      </x:c>
      <x:c r="H32" s="6" t="n">
        <x:v>3</x:v>
      </x:c>
      <x:c r="I32" s="17" t="n">
        <x:f>F32*H32</x:f>
        <x:v>3</x:v>
      </x:c>
      <x:c r="J32" s="6" t="str">
        <x:v>Base every fourth attack/launch; ranks 1/2/3 reduce cadence to every third/second/first. Effective cap min(card cap, global cadence cap=3).</x:v>
      </x:c>
      <x:c r="K32" s="6" t="str">
        <x:v>Active</x:v>
      </x:c>
    </x:row>
    <x:row r="33" ht="38" customHeight="1">
      <x:c r="A33" s="6" t="str">
        <x:v>Iaijutsu</x:v>
      </x:c>
      <x:c r="B33" s="6" t="str">
        <x:v>Slash Width</x:v>
      </x:c>
      <x:c r="C33" s="6" t="str">
        <x:v>IaijutsuWidth</x:v>
      </x:c>
      <x:c r="D33" s="6" t="str">
        <x:v>Fixed</x:v>
      </x:c>
      <x:c r="E33" s="6" t="str">
        <x:v>PerRank</x:v>
      </x:c>
      <x:c r="F33" s="15" t="n">
        <x:v>0.25</x:v>
      </x:c>
      <x:c r="G33" s="6" t="str">
        <x:v>fraction</x:v>
      </x:c>
      <x:c r="H33" s="6" t="n">
        <x:v>5</x:v>
      </x:c>
      <x:c r="I33" s="16" t="n">
        <x:f>F33*H33</x:f>
        <x:v>1.25</x:v>
      </x:c>
      <x:c r="J33" s="6" t="str">
        <x:v>Scales lane half-width from 200 to 450 cm at rank 5. Does not enlarge Final Flourish radius.</x:v>
      </x:c>
      <x:c r="K33" s="6" t="str">
        <x:v>Active</x:v>
      </x:c>
    </x:row>
    <x:row r="34" ht="38" customHeight="1">
      <x:c r="A34" s="6" t="str">
        <x:v>Crescent</x:v>
      </x:c>
      <x:c r="B34" s="6" t="str">
        <x:v>Arc Mastery</x:v>
      </x:c>
      <x:c r="C34" s="6" t="str">
        <x:v>CrescentArcChance</x:v>
      </x:c>
      <x:c r="D34" s="6" t="str">
        <x:v>Fixed</x:v>
      </x:c>
      <x:c r="E34" s="6" t="str">
        <x:v>PerRank</x:v>
      </x:c>
      <x:c r="F34" s="15" t="n">
        <x:v>0.05</x:v>
      </x:c>
      <x:c r="G34" s="6" t="str">
        <x:v>probability / bonus points</x:v>
      </x:c>
      <x:c r="H34" s="6" t="n">
        <x:v>5</x:v>
      </x:c>
      <x:c r="I34" s="16" t="n">
        <x:f>F34*H34</x:f>
        <x:v>0.25</x:v>
      </x:c>
      <x:c r="J34" s="6" t="str">
        <x:v>Saved base 15% + 5 percentage points per rank = 40%. Older docs say +10 points.</x:v>
      </x:c>
      <x:c r="K34" s="6" t="str">
        <x:v>Active</x:v>
      </x:c>
    </x:row>
    <x:row r="35" ht="38" customHeight="1">
      <x:c r="A35" s="6" t="str">
        <x:v>Crescent</x:v>
      </x:c>
      <x:c r="B35" s="6" t="str">
        <x:v>Chilling Waves</x:v>
      </x:c>
      <x:c r="C35" s="6" t="str">
        <x:v>CrescentSlow</x:v>
      </x:c>
      <x:c r="D35" s="6" t="str">
        <x:v>Fixed</x:v>
      </x:c>
      <x:c r="E35" s="6" t="str">
        <x:v>PerRank</x:v>
      </x:c>
      <x:c r="F35" s="15" t="n">
        <x:v>0.05</x:v>
      </x:c>
      <x:c r="G35" s="6" t="str">
        <x:v>probability / bonus points</x:v>
      </x:c>
      <x:c r="H35" s="6" t="n">
        <x:v>5</x:v>
      </x:c>
      <x:c r="I35" s="16" t="n">
        <x:f>F35*H35</x:f>
        <x:v>0.25</x:v>
      </x:c>
      <x:c r="J35" s="6" t="str">
        <x:v>30% base + 5 percentage points per rank = 55%. Disabled and converted to Wave Damage under Sudden Eruption.</x:v>
      </x:c>
      <x:c r="K35" s="6" t="str">
        <x:v>Active</x:v>
      </x:c>
    </x:row>
    <x:row r="36" ht="38" customHeight="1">
      <x:c r="A36" s="6" t="str">
        <x:v>Crescent</x:v>
      </x:c>
      <x:c r="B36" s="6" t="str">
        <x:v>Enduring Wake</x:v>
      </x:c>
      <x:c r="C36" s="6" t="str">
        <x:v>CrescentFieldPower</x:v>
      </x:c>
      <x:c r="D36" s="6" t="str">
        <x:v>Fixed</x:v>
      </x:c>
      <x:c r="E36" s="6" t="str">
        <x:v>PerRank</x:v>
      </x:c>
      <x:c r="F36" s="15" t="n">
        <x:v>0.15</x:v>
      </x:c>
      <x:c r="G36" s="6" t="str">
        <x:v>fraction</x:v>
      </x:c>
      <x:c r="H36" s="6" t="n">
        <x:v>5</x:v>
      </x:c>
      <x:c r="I36" s="16" t="n">
        <x:f>F36*H36</x:f>
        <x:v>0.75</x:v>
      </x:c>
      <x:c r="J36" s="6" t="str">
        <x:v>Raises duration and total field damage, not DPS: 3 to 5.25 s and +75% total at rank 5. Eruption gets the same total budget.</x:v>
      </x:c>
      <x:c r="K36" s="6" t="str">
        <x:v>Active</x:v>
      </x:c>
    </x:row>
    <x:row r="37" ht="38" customHeight="1">
      <x:c r="A37" s="6" t="str">
        <x:v>Crescent</x:v>
      </x:c>
      <x:c r="B37" s="6" t="str">
        <x:v>Fracture Mastery</x:v>
      </x:c>
      <x:c r="C37" s="6" t="str">
        <x:v>CrescentSplitChance</x:v>
      </x:c>
      <x:c r="D37" s="6" t="str">
        <x:v>Fixed</x:v>
      </x:c>
      <x:c r="E37" s="6" t="str">
        <x:v>PerRank</x:v>
      </x:c>
      <x:c r="F37" s="15" t="n">
        <x:v>0.1</x:v>
      </x:c>
      <x:c r="G37" s="6" t="str">
        <x:v>probability / bonus points</x:v>
      </x:c>
      <x:c r="H37" s="6" t="n">
        <x:v>5</x:v>
      </x:c>
      <x:c r="I37" s="16" t="n">
        <x:f>F37*H37</x:f>
        <x:v>0.5</x:v>
      </x:c>
      <x:c r="J37" s="6" t="str">
        <x:v>Saved base 15% + 10 percentage points per rank = 65%. Older docs say +15 points.</x:v>
      </x:c>
      <x:c r="K37" s="6" t="str">
        <x:v>Active</x:v>
      </x:c>
    </x:row>
    <x:row r="38" ht="30" customHeight="1">
      <x:c r="A38" s="6" t="str">
        <x:v>Crescent</x:v>
      </x:c>
      <x:c r="B38" s="6" t="str">
        <x:v>Lingering Chill</x:v>
      </x:c>
      <x:c r="C38" s="6" t="str">
        <x:v>CrescentSlowDuration</x:v>
      </x:c>
      <x:c r="D38" s="6" t="str">
        <x:v>Fixed</x:v>
      </x:c>
      <x:c r="E38" s="6" t="str">
        <x:v>PerRank</x:v>
      </x:c>
      <x:c r="F38" s="13" t="n">
        <x:v>1</x:v>
      </x:c>
      <x:c r="G38" s="6" t="str">
        <x:v>seconds</x:v>
      </x:c>
      <x:c r="H38" s="6" t="n">
        <x:v>5</x:v>
      </x:c>
      <x:c r="I38" s="17" t="n">
        <x:f>F38*H38</x:f>
        <x:v>5</x:v>
      </x:c>
      <x:c r="J38" s="6" t="str">
        <x:v>5 to 10 seconds. Disabled and converted to Wave Damage under Sudden Eruption.</x:v>
      </x:c>
      <x:c r="K38" s="6" t="str">
        <x:v>Active</x:v>
      </x:c>
    </x:row>
    <x:row r="39" ht="38" customHeight="1">
      <x:c r="A39" s="6" t="str">
        <x:v>Crescent</x:v>
      </x:c>
      <x:c r="B39" s="6" t="str">
        <x:v>Reinforcements</x:v>
      </x:c>
      <x:c r="C39" s="6" t="str">
        <x:v>CrescentAssistChance</x:v>
      </x:c>
      <x:c r="D39" s="6" t="str">
        <x:v>Fixed</x:v>
      </x:c>
      <x:c r="E39" s="6" t="str">
        <x:v>PerRank</x:v>
      </x:c>
      <x:c r="F39" s="15" t="n">
        <x:v>0.05</x:v>
      </x:c>
      <x:c r="G39" s="6" t="str">
        <x:v>probability / bonus points</x:v>
      </x:c>
      <x:c r="H39" s="6" t="n">
        <x:v>5</x:v>
      </x:c>
      <x:c r="I39" s="16" t="n">
        <x:f>F39*H39</x:f>
        <x:v>0.25</x:v>
      </x:c>
      <x:c r="J39" s="6" t="str">
        <x:v>Base 5% + 5 percentage points/rank = 30% at rank 5.</x:v>
      </x:c>
      <x:c r="K39" s="6" t="str">
        <x:v>Active</x:v>
      </x:c>
    </x:row>
    <x:row r="40" ht="38" customHeight="1">
      <x:c r="A40" s="6" t="str">
        <x:v>Crescent</x:v>
      </x:c>
      <x:c r="B40" s="6" t="str">
        <x:v>Relentless Cuts</x:v>
      </x:c>
      <x:c r="C40" s="6" t="str">
        <x:v>CrescentDoubleCutFrequency</x:v>
      </x:c>
      <x:c r="D40" s="6" t="str">
        <x:v>Fixed</x:v>
      </x:c>
      <x:c r="E40" s="6" t="str">
        <x:v>PerRank</x:v>
      </x:c>
      <x:c r="F40" s="13" t="n">
        <x:v>1</x:v>
      </x:c>
      <x:c r="G40" s="6" t="str">
        <x:v>fewer attacks</x:v>
      </x:c>
      <x:c r="H40" s="6" t="n">
        <x:v>3</x:v>
      </x:c>
      <x:c r="I40" s="17" t="n">
        <x:f>F40*H40</x:f>
        <x:v>3</x:v>
      </x:c>
      <x:c r="J40" s="6" t="str">
        <x:v>Base every fourth attack/launch; ranks 1/2/3 reduce cadence to every third/second/first. Effective cap min(card cap, global cadence cap=3).</x:v>
      </x:c>
      <x:c r="K40" s="6" t="str">
        <x:v>Active</x:v>
      </x:c>
    </x:row>
    <x:row r="41" ht="38" customHeight="1">
      <x:c r="A41" s="6" t="str">
        <x:v>Crescent</x:v>
      </x:c>
      <x:c r="B41" s="6" t="str">
        <x:v>Restless Wake</x:v>
      </x:c>
      <x:c r="C41" s="6" t="str">
        <x:v>CrescentFieldChance</x:v>
      </x:c>
      <x:c r="D41" s="6" t="str">
        <x:v>Fixed</x:v>
      </x:c>
      <x:c r="E41" s="6" t="str">
        <x:v>PerRank</x:v>
      </x:c>
      <x:c r="F41" s="15" t="n">
        <x:v>0.05</x:v>
      </x:c>
      <x:c r="G41" s="6" t="str">
        <x:v>probability / bonus points</x:v>
      </x:c>
      <x:c r="H41" s="6" t="n">
        <x:v>5</x:v>
      </x:c>
      <x:c r="I41" s="16" t="n">
        <x:f>F41*H41</x:f>
        <x:v>0.25</x:v>
      </x:c>
      <x:c r="J41" s="6" t="str">
        <x:v>Additive contribution across purchased ranks. Final multiplicative stats and conditional effects are shown in mechanics/interactions.</x:v>
      </x:c>
      <x:c r="K41" s="6" t="str">
        <x:v>Active</x:v>
      </x:c>
    </x:row>
    <x:row r="42" ht="38" customHeight="1">
      <x:c r="A42" s="6" t="str">
        <x:v>Crescent</x:v>
      </x:c>
      <x:c r="B42" s="6" t="str">
        <x:v>Wave Damage</x:v>
      </x:c>
      <x:c r="C42" s="6" t="str">
        <x:v>CrescentDamage</x:v>
      </x:c>
      <x:c r="D42" s="6" t="str">
        <x:v>Fixed</x:v>
      </x:c>
      <x:c r="E42" s="6" t="str">
        <x:v>PerRank</x:v>
      </x:c>
      <x:c r="F42" s="15" t="n">
        <x:v>0.2</x:v>
      </x:c>
      <x:c r="G42" s="6" t="str">
        <x:v>fraction</x:v>
      </x:c>
      <x:c r="H42" s="6" t="n">
        <x:v>5</x:v>
      </x:c>
      <x:c r="I42" s="16" t="n">
        <x:f>F42*H42</x:f>
        <x:v>1</x:v>
      </x:c>
      <x:c r="J42" s="6" t="str">
        <x:v>Additive contribution across purchased ranks. Final multiplicative stats and conditional effects are shown in mechanics/interactions.</x:v>
      </x:c>
      <x:c r="K42" s="6" t="str">
        <x:v>Active</x:v>
      </x:c>
    </x:row>
    <x:row r="43" ht="38" customHeight="1">
      <x:c r="A43" s="6" t="str">
        <x:v>Crescent</x:v>
      </x:c>
      <x:c r="B43" s="6" t="str">
        <x:v>Wave Range</x:v>
      </x:c>
      <x:c r="C43" s="6" t="str">
        <x:v>CrescentRange</x:v>
      </x:c>
      <x:c r="D43" s="6" t="str">
        <x:v>Fixed</x:v>
      </x:c>
      <x:c r="E43" s="6" t="str">
        <x:v>PerRank</x:v>
      </x:c>
      <x:c r="F43" s="15" t="n">
        <x:v>0.2</x:v>
      </x:c>
      <x:c r="G43" s="6" t="str">
        <x:v>fraction</x:v>
      </x:c>
      <x:c r="H43" s="6" t="n">
        <x:v>5</x:v>
      </x:c>
      <x:c r="I43" s="16" t="n">
        <x:f>F43*H43</x:f>
        <x:v>1</x:v>
      </x:c>
      <x:c r="J43" s="6" t="str">
        <x:v>650 to 1300 cm travel range at rank 5. Attack area and permanent width scale wave width separately.</x:v>
      </x:c>
      <x:c r="K43" s="6" t="str">
        <x:v>Active</x:v>
      </x:c>
    </x:row>
    <x:row r="44" ht="38" customHeight="1">
      <x:c r="A44" s="6" t="str">
        <x:v>Crescent</x:v>
      </x:c>
      <x:c r="B44" s="6" t="str">
        <x:v>Wave Speed</x:v>
      </x:c>
      <x:c r="C44" s="6" t="str">
        <x:v>CrescentSpeed</x:v>
      </x:c>
      <x:c r="D44" s="6" t="str">
        <x:v>Fixed</x:v>
      </x:c>
      <x:c r="E44" s="6" t="str">
        <x:v>PerRank</x:v>
      </x:c>
      <x:c r="F44" s="15" t="n">
        <x:v>0.2</x:v>
      </x:c>
      <x:c r="G44" s="6" t="str">
        <x:v>fraction</x:v>
      </x:c>
      <x:c r="H44" s="6" t="n">
        <x:v>5</x:v>
      </x:c>
      <x:c r="I44" s="16" t="n">
        <x:f>F44*H44</x:f>
        <x:v>1</x:v>
      </x:c>
      <x:c r="J44" s="6" t="str">
        <x:v>Travel speed, not cast frequency. 1400 to 2800 cm/s at rank 5 before Crushing Tide.</x:v>
      </x:c>
      <x:c r="K44" s="6" t="str">
        <x:v>Active</x:v>
      </x:c>
    </x:row>
    <x:row r="45" ht="38" customHeight="1">
      <x:c r="A45" s="6" t="str">
        <x:v>Returning Fang</x:v>
      </x:c>
      <x:c r="B45" s="6" t="str">
        <x:v>Attack Range</x:v>
      </x:c>
      <x:c r="C45" s="6" t="str">
        <x:v>FangRange</x:v>
      </x:c>
      <x:c r="D45" s="6" t="str">
        <x:v>Common</x:v>
      </x:c>
      <x:c r="E45" s="6" t="str">
        <x:v>Accumulated magnitude</x:v>
      </x:c>
      <x:c r="F45" s="15" t="n">
        <x:v>0.15</x:v>
      </x:c>
      <x:c r="G45" s="6" t="str">
        <x:v>fraction</x:v>
      </x:c>
      <x:c r="H45" s="6" t="n">
        <x:v>5</x:v>
      </x:c>
      <x:c r="I45" s="16" t="n">
        <x:f>F45*H45</x:f>
        <x:v>0.75</x:v>
      </x:c>
      <x:c r="J45" s="6" t="str">
        <x:v>850 cm base targeting range, plus rolled contributions and permanent Fang reach. Does not enlarge the return burst.</x:v>
      </x:c>
      <x:c r="K45" s="6" t="str">
        <x:v>Active</x:v>
      </x:c>
    </x:row>
    <x:row r="46" ht="38" customHeight="1">
      <x:c r="A46" s="6" t="str">
        <x:v>Returning Fang</x:v>
      </x:c>
      <x:c r="B46" s="6" t="str">
        <x:v>Attack Range</x:v>
      </x:c>
      <x:c r="C46" s="6" t="str">
        <x:v>FangRange</x:v>
      </x:c>
      <x:c r="D46" s="6" t="str">
        <x:v>Rare</x:v>
      </x:c>
      <x:c r="E46" s="6" t="str">
        <x:v>Accumulated magnitude</x:v>
      </x:c>
      <x:c r="F46" s="15" t="n">
        <x:v>0.225</x:v>
      </x:c>
      <x:c r="G46" s="6" t="str">
        <x:v>fraction</x:v>
      </x:c>
      <x:c r="H46" s="6" t="n">
        <x:v>5</x:v>
      </x:c>
      <x:c r="I46" s="16" t="n">
        <x:f>F46*H46</x:f>
        <x:v>1.125</x:v>
      </x:c>
      <x:c r="J46" s="6" t="str">
        <x:v>850 cm base targeting range, plus rolled contributions and permanent Fang reach. Does not enlarge the return burst.</x:v>
      </x:c>
      <x:c r="K46" s="6" t="str">
        <x:v>Active</x:v>
      </x:c>
    </x:row>
    <x:row r="47" ht="38" customHeight="1">
      <x:c r="A47" s="6" t="str">
        <x:v>Returning Fang</x:v>
      </x:c>
      <x:c r="B47" s="6" t="str">
        <x:v>Attack Range</x:v>
      </x:c>
      <x:c r="C47" s="6" t="str">
        <x:v>FangRange</x:v>
      </x:c>
      <x:c r="D47" s="6" t="str">
        <x:v>Epic</x:v>
      </x:c>
      <x:c r="E47" s="6" t="str">
        <x:v>Accumulated magnitude</x:v>
      </x:c>
      <x:c r="F47" s="15" t="n">
        <x:v>0.3</x:v>
      </x:c>
      <x:c r="G47" s="6" t="str">
        <x:v>fraction</x:v>
      </x:c>
      <x:c r="H47" s="6" t="n">
        <x:v>5</x:v>
      </x:c>
      <x:c r="I47" s="16" t="n">
        <x:f>F47*H47</x:f>
        <x:v>1.5</x:v>
      </x:c>
      <x:c r="J47" s="6" t="str">
        <x:v>850 cm base targeting range, plus rolled contributions and permanent Fang reach. Does not enlarge the return burst.</x:v>
      </x:c>
      <x:c r="K47" s="6" t="str">
        <x:v>Active</x:v>
      </x:c>
    </x:row>
    <x:row r="48" ht="38" customHeight="1">
      <x:c r="A48" s="6" t="str">
        <x:v>Returning Fang</x:v>
      </x:c>
      <x:c r="B48" s="6" t="str">
        <x:v>Close Quarters</x:v>
      </x:c>
      <x:c r="C48" s="6" t="str">
        <x:v>FangCloseQuarters</x:v>
      </x:c>
      <x:c r="D48" s="6" t="str">
        <x:v>Common</x:v>
      </x:c>
      <x:c r="E48" s="6" t="str">
        <x:v>Accumulated magnitude</x:v>
      </x:c>
      <x:c r="F48" s="15" t="n">
        <x:v>0.1</x:v>
      </x:c>
      <x:c r="G48" s="6" t="str">
        <x:v>fraction</x:v>
      </x:c>
      <x:c r="H48" s="6" t="n">
        <x:v>5</x:v>
      </x:c>
      <x:c r="I48" s="16" t="n">
        <x:f>F48*H48</x:f>
        <x:v>0.5</x:v>
      </x:c>
      <x:c r="J48" s="6" t="str">
        <x:v>Additive contribution across purchased ranks. Final multiplicative stats and conditional effects are shown in mechanics/interactions.</x:v>
      </x:c>
      <x:c r="K48" s="6" t="str">
        <x:v>Active</x:v>
      </x:c>
    </x:row>
    <x:row r="49" ht="38" customHeight="1">
      <x:c r="A49" s="6" t="str">
        <x:v>Returning Fang</x:v>
      </x:c>
      <x:c r="B49" s="6" t="str">
        <x:v>Close Quarters</x:v>
      </x:c>
      <x:c r="C49" s="6" t="str">
        <x:v>FangCloseQuarters</x:v>
      </x:c>
      <x:c r="D49" s="6" t="str">
        <x:v>Rare</x:v>
      </x:c>
      <x:c r="E49" s="6" t="str">
        <x:v>Accumulated magnitude</x:v>
      </x:c>
      <x:c r="F49" s="15" t="n">
        <x:v>0.15</x:v>
      </x:c>
      <x:c r="G49" s="6" t="str">
        <x:v>fraction</x:v>
      </x:c>
      <x:c r="H49" s="6" t="n">
        <x:v>5</x:v>
      </x:c>
      <x:c r="I49" s="16" t="n">
        <x:f>F49*H49</x:f>
        <x:v>0.75</x:v>
      </x:c>
      <x:c r="J49" s="6" t="str">
        <x:v>Additive contribution across purchased ranks. Final multiplicative stats and conditional effects are shown in mechanics/interactions.</x:v>
      </x:c>
      <x:c r="K49" s="6" t="str">
        <x:v>Active</x:v>
      </x:c>
    </x:row>
    <x:row r="50" ht="38" customHeight="1">
      <x:c r="A50" s="6" t="str">
        <x:v>Returning Fang</x:v>
      </x:c>
      <x:c r="B50" s="6" t="str">
        <x:v>Close Quarters</x:v>
      </x:c>
      <x:c r="C50" s="6" t="str">
        <x:v>FangCloseQuarters</x:v>
      </x:c>
      <x:c r="D50" s="6" t="str">
        <x:v>Epic</x:v>
      </x:c>
      <x:c r="E50" s="6" t="str">
        <x:v>Accumulated magnitude</x:v>
      </x:c>
      <x:c r="F50" s="15" t="n">
        <x:v>0.2</x:v>
      </x:c>
      <x:c r="G50" s="6" t="str">
        <x:v>fraction</x:v>
      </x:c>
      <x:c r="H50" s="6" t="n">
        <x:v>5</x:v>
      </x:c>
      <x:c r="I50" s="16" t="n">
        <x:f>F50*H50</x:f>
        <x:v>1</x:v>
      </x:c>
      <x:c r="J50" s="6" t="str">
        <x:v>Additive contribution across purchased ranks. Final multiplicative stats and conditional effects are shown in mechanics/interactions.</x:v>
      </x:c>
      <x:c r="K50" s="6" t="str">
        <x:v>Active</x:v>
      </x:c>
    </x:row>
    <x:row r="51" ht="38" customHeight="1">
      <x:c r="A51" s="6" t="str">
        <x:v>Returning Fang</x:v>
      </x:c>
      <x:c r="B51" s="6" t="str">
        <x:v>Deadeye Mastery</x:v>
      </x:c>
      <x:c r="C51" s="6" t="str">
        <x:v>FangCriticalChance</x:v>
      </x:c>
      <x:c r="D51" s="6" t="str">
        <x:v>Fixed</x:v>
      </x:c>
      <x:c r="E51" s="6" t="str">
        <x:v>PerRank</x:v>
      </x:c>
      <x:c r="F51" s="15" t="n">
        <x:v>0.1</x:v>
      </x:c>
      <x:c r="G51" s="6" t="str">
        <x:v>probability / bonus points</x:v>
      </x:c>
      <x:c r="H51" s="6" t="n">
        <x:v>5</x:v>
      </x:c>
      <x:c r="I51" s="16" t="n">
        <x:f>F51*H51</x:f>
        <x:v>0.5</x:v>
      </x:c>
      <x:c r="J51" s="6" t="str">
        <x:v>Base 15% + 10 percentage points/rank = 65% at rank 5.</x:v>
      </x:c>
      <x:c r="K51" s="6" t="str">
        <x:v>Active</x:v>
      </x:c>
    </x:row>
    <x:row r="52" ht="38" customHeight="1">
      <x:c r="A52" s="6" t="str">
        <x:v>Returning Fang</x:v>
      </x:c>
      <x:c r="B52" s="6" t="str">
        <x:v>Fang Damage</x:v>
      </x:c>
      <x:c r="C52" s="6" t="str">
        <x:v>FangDamage</x:v>
      </x:c>
      <x:c r="D52" s="6" t="str">
        <x:v>Common</x:v>
      </x:c>
      <x:c r="E52" s="6" t="str">
        <x:v>Accumulated magnitude</x:v>
      </x:c>
      <x:c r="F52" s="15" t="n">
        <x:v>0.2</x:v>
      </x:c>
      <x:c r="G52" s="6" t="str">
        <x:v>fraction</x:v>
      </x:c>
      <x:c r="H52" s="6" t="n">
        <x:v>5</x:v>
      </x:c>
      <x:c r="I52" s="16" t="n">
        <x:f>F52*H52</x:f>
        <x:v>1</x:v>
      </x:c>
      <x:c r="J52" s="6" t="str">
        <x:v>Additive contribution across purchased ranks. Final multiplicative stats and conditional effects are shown in mechanics/interactions.</x:v>
      </x:c>
      <x:c r="K52" s="6" t="str">
        <x:v>Active</x:v>
      </x:c>
    </x:row>
    <x:row r="53" ht="38" customHeight="1">
      <x:c r="A53" s="6" t="str">
        <x:v>Returning Fang</x:v>
      </x:c>
      <x:c r="B53" s="6" t="str">
        <x:v>Fang Damage</x:v>
      </x:c>
      <x:c r="C53" s="6" t="str">
        <x:v>FangDamage</x:v>
      </x:c>
      <x:c r="D53" s="6" t="str">
        <x:v>Rare</x:v>
      </x:c>
      <x:c r="E53" s="6" t="str">
        <x:v>Accumulated magnitude</x:v>
      </x:c>
      <x:c r="F53" s="15" t="n">
        <x:v>0.3</x:v>
      </x:c>
      <x:c r="G53" s="6" t="str">
        <x:v>fraction</x:v>
      </x:c>
      <x:c r="H53" s="6" t="n">
        <x:v>5</x:v>
      </x:c>
      <x:c r="I53" s="16" t="n">
        <x:f>F53*H53</x:f>
        <x:v>1.5</x:v>
      </x:c>
      <x:c r="J53" s="6" t="str">
        <x:v>Additive contribution across purchased ranks. Final multiplicative stats and conditional effects are shown in mechanics/interactions.</x:v>
      </x:c>
      <x:c r="K53" s="6" t="str">
        <x:v>Active</x:v>
      </x:c>
    </x:row>
    <x:row r="54" ht="38" customHeight="1">
      <x:c r="A54" s="6" t="str">
        <x:v>Returning Fang</x:v>
      </x:c>
      <x:c r="B54" s="6" t="str">
        <x:v>Fang Damage</x:v>
      </x:c>
      <x:c r="C54" s="6" t="str">
        <x:v>FangDamage</x:v>
      </x:c>
      <x:c r="D54" s="6" t="str">
        <x:v>Epic</x:v>
      </x:c>
      <x:c r="E54" s="6" t="str">
        <x:v>Accumulated magnitude</x:v>
      </x:c>
      <x:c r="F54" s="15" t="n">
        <x:v>0.4</x:v>
      </x:c>
      <x:c r="G54" s="6" t="str">
        <x:v>fraction</x:v>
      </x:c>
      <x:c r="H54" s="6" t="n">
        <x:v>5</x:v>
      </x:c>
      <x:c r="I54" s="16" t="n">
        <x:f>F54*H54</x:f>
        <x:v>2</x:v>
      </x:c>
      <x:c r="J54" s="6" t="str">
        <x:v>Additive contribution across purchased ranks. Final multiplicative stats and conditional effects are shown in mechanics/interactions.</x:v>
      </x:c>
      <x:c r="K54" s="6" t="str">
        <x:v>Active</x:v>
      </x:c>
    </x:row>
    <x:row r="55" ht="38" customHeight="1">
      <x:c r="A55" s="6" t="str">
        <x:v>Returning Fang</x:v>
      </x:c>
      <x:c r="B55" s="6" t="str">
        <x:v>Flight Speed</x:v>
      </x:c>
      <x:c r="C55" s="6" t="str">
        <x:v>FangSpeed</x:v>
      </x:c>
      <x:c r="D55" s="6" t="str">
        <x:v>Common</x:v>
      </x:c>
      <x:c r="E55" s="6" t="str">
        <x:v>Accumulated magnitude</x:v>
      </x:c>
      <x:c r="F55" s="15" t="n">
        <x:v>0.15</x:v>
      </x:c>
      <x:c r="G55" s="6" t="str">
        <x:v>fraction</x:v>
      </x:c>
      <x:c r="H55" s="6" t="n">
        <x:v>5</x:v>
      </x:c>
      <x:c r="I55" s="16" t="n">
        <x:f>F55*H55</x:f>
        <x:v>0.75</x:v>
      </x:c>
      <x:c r="J55" s="6" t="str">
        <x:v>Additive contribution across purchased ranks. Final multiplicative stats and conditional effects are shown in mechanics/interactions.</x:v>
      </x:c>
      <x:c r="K55" s="6" t="str">
        <x:v>Active</x:v>
      </x:c>
    </x:row>
    <x:row r="56" ht="38" customHeight="1">
      <x:c r="A56" s="6" t="str">
        <x:v>Returning Fang</x:v>
      </x:c>
      <x:c r="B56" s="6" t="str">
        <x:v>Flight Speed</x:v>
      </x:c>
      <x:c r="C56" s="6" t="str">
        <x:v>FangSpeed</x:v>
      </x:c>
      <x:c r="D56" s="6" t="str">
        <x:v>Rare</x:v>
      </x:c>
      <x:c r="E56" s="6" t="str">
        <x:v>Accumulated magnitude</x:v>
      </x:c>
      <x:c r="F56" s="15" t="n">
        <x:v>0.225</x:v>
      </x:c>
      <x:c r="G56" s="6" t="str">
        <x:v>fraction</x:v>
      </x:c>
      <x:c r="H56" s="6" t="n">
        <x:v>5</x:v>
      </x:c>
      <x:c r="I56" s="16" t="n">
        <x:f>F56*H56</x:f>
        <x:v>1.125</x:v>
      </x:c>
      <x:c r="J56" s="6" t="str">
        <x:v>Additive contribution across purchased ranks. Final multiplicative stats and conditional effects are shown in mechanics/interactions.</x:v>
      </x:c>
      <x:c r="K56" s="6" t="str">
        <x:v>Active</x:v>
      </x:c>
    </x:row>
    <x:row r="57" ht="38" customHeight="1">
      <x:c r="A57" s="6" t="str">
        <x:v>Returning Fang</x:v>
      </x:c>
      <x:c r="B57" s="6" t="str">
        <x:v>Flight Speed</x:v>
      </x:c>
      <x:c r="C57" s="6" t="str">
        <x:v>FangSpeed</x:v>
      </x:c>
      <x:c r="D57" s="6" t="str">
        <x:v>Epic</x:v>
      </x:c>
      <x:c r="E57" s="6" t="str">
        <x:v>Accumulated magnitude</x:v>
      </x:c>
      <x:c r="F57" s="15" t="n">
        <x:v>0.3</x:v>
      </x:c>
      <x:c r="G57" s="6" t="str">
        <x:v>fraction</x:v>
      </x:c>
      <x:c r="H57" s="6" t="n">
        <x:v>5</x:v>
      </x:c>
      <x:c r="I57" s="16" t="n">
        <x:f>F57*H57</x:f>
        <x:v>1.5</x:v>
      </x:c>
      <x:c r="J57" s="6" t="str">
        <x:v>Additive contribution across purchased ranks. Final multiplicative stats and conditional effects are shown in mechanics/interactions.</x:v>
      </x:c>
      <x:c r="K57" s="6" t="str">
        <x:v>Active</x:v>
      </x:c>
    </x:row>
    <x:row r="58" ht="38" customHeight="1">
      <x:c r="A58" s="6" t="str">
        <x:v>Returning Fang</x:v>
      </x:c>
      <x:c r="B58" s="6" t="str">
        <x:v>Killing Momentum</x:v>
      </x:c>
      <x:c r="C58" s="6" t="str">
        <x:v>FangPursuitChance</x:v>
      </x:c>
      <x:c r="D58" s="6" t="str">
        <x:v>Fixed</x:v>
      </x:c>
      <x:c r="E58" s="6" t="str">
        <x:v>PerRank</x:v>
      </x:c>
      <x:c r="F58" s="15" t="n">
        <x:v>0.1</x:v>
      </x:c>
      <x:c r="G58" s="6" t="str">
        <x:v>probability / bonus points</x:v>
      </x:c>
      <x:c r="H58" s="6" t="n">
        <x:v>5</x:v>
      </x:c>
      <x:c r="I58" s="16" t="n">
        <x:f>F58*H58</x:f>
        <x:v>0.5</x:v>
      </x:c>
      <x:c r="J58" s="6" t="str">
        <x:v>Additive contribution across purchased ranks. Final multiplicative stats and conditional effects are shown in mechanics/interactions.</x:v>
      </x:c>
      <x:c r="K58" s="6" t="str">
        <x:v>Active</x:v>
      </x:c>
    </x:row>
    <x:row r="59" ht="38" customHeight="1">
      <x:c r="A59" s="6" t="str">
        <x:v>Returning Fang</x:v>
      </x:c>
      <x:c r="B59" s="6" t="str">
        <x:v>Reinforcements</x:v>
      </x:c>
      <x:c r="C59" s="6" t="str">
        <x:v>FangAssistChance</x:v>
      </x:c>
      <x:c r="D59" s="6" t="str">
        <x:v>Fixed</x:v>
      </x:c>
      <x:c r="E59" s="6" t="str">
        <x:v>PerRank</x:v>
      </x:c>
      <x:c r="F59" s="15" t="n">
        <x:v>0.05</x:v>
      </x:c>
      <x:c r="G59" s="6" t="str">
        <x:v>probability / bonus points</x:v>
      </x:c>
      <x:c r="H59" s="6" t="n">
        <x:v>5</x:v>
      </x:c>
      <x:c r="I59" s="16" t="n">
        <x:f>F59*H59</x:f>
        <x:v>0.25</x:v>
      </x:c>
      <x:c r="J59" s="6" t="str">
        <x:v>Base 5% + 5 percentage points/rank = 30% at rank 5.</x:v>
      </x:c>
      <x:c r="K59" s="6" t="str">
        <x:v>Active</x:v>
      </x:c>
    </x:row>
    <x:row r="60" ht="38" customHeight="1">
      <x:c r="A60" s="6" t="str">
        <x:v>Returning Fang</x:v>
      </x:c>
      <x:c r="B60" s="6" t="str">
        <x:v>Relentless Pressure</x:v>
      </x:c>
      <x:c r="C60" s="6" t="str">
        <x:v>FangPressure</x:v>
      </x:c>
      <x:c r="D60" s="6" t="str">
        <x:v>Fixed</x:v>
      </x:c>
      <x:c r="E60" s="6" t="str">
        <x:v>PerRank</x:v>
      </x:c>
      <x:c r="F60" s="15" t="n">
        <x:v>0.2</x:v>
      </x:c>
      <x:c r="G60" s="6" t="str">
        <x:v>fraction</x:v>
      </x:c>
      <x:c r="H60" s="6" t="n">
        <x:v>5</x:v>
      </x:c>
      <x:c r="I60" s="16" t="n">
        <x:f>F60*H60</x:f>
        <x:v>1</x:v>
      </x:c>
      <x:c r="J60" s="6" t="str">
        <x:v>Multiplies only the Relentless damage bonus, not the whole hit. At rank 5, +15% per repeat becomes +30%, cap +75% becomes +150%.</x:v>
      </x:c>
      <x:c r="K60" s="6" t="str">
        <x:v>Active</x:v>
      </x:c>
    </x:row>
    <x:row r="61" ht="38" customHeight="1">
      <x:c r="A61" s="6" t="str">
        <x:v>Returning Fang</x:v>
      </x:c>
      <x:c r="B61" s="6" t="str">
        <x:v>Resonant Power</x:v>
      </x:c>
      <x:c r="C61" s="6" t="str">
        <x:v>FangBurstPower</x:v>
      </x:c>
      <x:c r="D61" s="6" t="str">
        <x:v>Fixed</x:v>
      </x:c>
      <x:c r="E61" s="6" t="str">
        <x:v>PerRank</x:v>
      </x:c>
      <x:c r="F61" s="15" t="n">
        <x:v>0.2</x:v>
      </x:c>
      <x:c r="G61" s="6" t="str">
        <x:v>fraction</x:v>
      </x:c>
      <x:c r="H61" s="6" t="n">
        <x:v>10</x:v>
      </x:c>
      <x:c r="I61" s="16" t="n">
        <x:f>F61*H61</x:f>
        <x:v>2</x:v>
      </x:c>
      <x:c r="J61" s="6" t="str">
        <x:v>10 ranks, unlike most five-rank supports. +200% at cap makes burst damage x3 its base amount.</x:v>
      </x:c>
      <x:c r="K61" s="6" t="str">
        <x:v>Active</x:v>
      </x:c>
    </x:row>
    <x:row r="62" ht="30" customHeight="1">
      <x:c r="A62" s="6" t="str">
        <x:v>Returning Fang</x:v>
      </x:c>
      <x:c r="B62" s="6" t="str">
        <x:v>Resonant Reach</x:v>
      </x:c>
      <x:c r="C62" s="6" t="str">
        <x:v>FangResonantReach</x:v>
      </x:c>
      <x:c r="D62" s="6" t="str">
        <x:v>Fixed</x:v>
      </x:c>
      <x:c r="E62" s="6" t="str">
        <x:v>PerRank</x:v>
      </x:c>
      <x:c r="F62" s="15" t="n">
        <x:v>0.15</x:v>
      </x:c>
      <x:c r="G62" s="6" t="str">
        <x:v>fraction</x:v>
      </x:c>
      <x:c r="H62" s="6" t="n">
        <x:v>5</x:v>
      </x:c>
      <x:c r="I62" s="16" t="n">
        <x:f>F62*H62</x:f>
        <x:v>0.75</x:v>
      </x:c>
      <x:c r="J62" s="6" t="str">
        <x:v>250 to 437.5 cm burst radius at rank 5. Independent of generic attack coverage.</x:v>
      </x:c>
      <x:c r="K62" s="6" t="str">
        <x:v>Active</x:v>
      </x:c>
    </x:row>
    <x:row r="63" ht="38" customHeight="1">
      <x:c r="A63" s="6" t="str">
        <x:v>Returning Fang</x:v>
      </x:c>
      <x:c r="B63" s="6" t="str">
        <x:v>Splinter Power</x:v>
      </x:c>
      <x:c r="C63" s="6" t="str">
        <x:v>FangSplinterPower</x:v>
      </x:c>
      <x:c r="D63" s="6" t="str">
        <x:v>Fixed</x:v>
      </x:c>
      <x:c r="E63" s="6" t="str">
        <x:v>PerRank</x:v>
      </x:c>
      <x:c r="F63" s="15" t="n">
        <x:v>0.2</x:v>
      </x:c>
      <x:c r="G63" s="6" t="str">
        <x:v>fraction</x:v>
      </x:c>
      <x:c r="H63" s="6" t="n">
        <x:v>5</x:v>
      </x:c>
      <x:c r="I63" s="16" t="n">
        <x:f>F63*H63</x:f>
        <x:v>1</x:v>
      </x:c>
      <x:c r="J63" s="6" t="str">
        <x:v>Additive contribution across purchased ranks. Final multiplicative stats and conditional effects are shown in mechanics/interactions.</x:v>
      </x:c>
      <x:c r="K63" s="6" t="str">
        <x:v>Active</x:v>
      </x:c>
    </x:row>
    <x:row r="64" ht="38" customHeight="1">
      <x:c r="A64" s="6" t="str">
        <x:v>Returning Fang</x:v>
      </x:c>
      <x:c r="B64" s="6" t="str">
        <x:v>Twin Fang Frequency</x:v>
      </x:c>
      <x:c r="C64" s="6" t="str">
        <x:v>FangTwinFrequency</x:v>
      </x:c>
      <x:c r="D64" s="6" t="str">
        <x:v>Fixed</x:v>
      </x:c>
      <x:c r="E64" s="6" t="str">
        <x:v>PerRank</x:v>
      </x:c>
      <x:c r="F64" s="13" t="n">
        <x:v>1</x:v>
      </x:c>
      <x:c r="G64" s="6" t="str">
        <x:v>fewer attacks</x:v>
      </x:c>
      <x:c r="H64" s="6" t="n">
        <x:v>3</x:v>
      </x:c>
      <x:c r="I64" s="17" t="n">
        <x:f>F64*H64</x:f>
        <x:v>3</x:v>
      </x:c>
      <x:c r="J64" s="6" t="str">
        <x:v>Base every fourth attack/launch; ranks 1/2/3 reduce cadence to every third/second/first. Effective cap min(card cap, global cadence cap=3).</x:v>
      </x:c>
      <x:c r="K64" s="6" t="str">
        <x:v>Active</x:v>
      </x:c>
    </x:row>
    <x:row r="65" ht="30" customHeight="1">
      <x:c r="A65" s="6" t="str">
        <x:v>Barrage</x:v>
      </x:c>
      <x:c r="B65" s="6" t="str">
        <x:v>Attack Speed</x:v>
      </x:c>
      <x:c r="C65" s="6" t="str">
        <x:v>BarrageSpeed</x:v>
      </x:c>
      <x:c r="D65" s="6" t="str">
        <x:v>Common</x:v>
      </x:c>
      <x:c r="E65" s="6" t="str">
        <x:v>Accumulated magnitude</x:v>
      </x:c>
      <x:c r="F65" s="15" t="n">
        <x:v>0.1</x:v>
      </x:c>
      <x:c r="G65" s="6" t="str">
        <x:v>fraction</x:v>
      </x:c>
      <x:c r="H65" s="6" t="n">
        <x:v>5</x:v>
      </x:c>
      <x:c r="I65" s="16" t="n">
        <x:f>F65*H65</x:f>
        <x:v>0.5</x:v>
      </x:c>
      <x:c r="J65" s="6" t="str">
        <x:v>Uses rolled 10/15/20%, not the 15% generic fallback.</x:v>
      </x:c>
      <x:c r="K65" s="6" t="str">
        <x:v>Active</x:v>
      </x:c>
    </x:row>
    <x:row r="66" ht="30" customHeight="1">
      <x:c r="A66" s="6" t="str">
        <x:v>Barrage</x:v>
      </x:c>
      <x:c r="B66" s="6" t="str">
        <x:v>Attack Speed</x:v>
      </x:c>
      <x:c r="C66" s="6" t="str">
        <x:v>BarrageSpeed</x:v>
      </x:c>
      <x:c r="D66" s="6" t="str">
        <x:v>Rare</x:v>
      </x:c>
      <x:c r="E66" s="6" t="str">
        <x:v>Accumulated magnitude</x:v>
      </x:c>
      <x:c r="F66" s="15" t="n">
        <x:v>0.15</x:v>
      </x:c>
      <x:c r="G66" s="6" t="str">
        <x:v>fraction</x:v>
      </x:c>
      <x:c r="H66" s="6" t="n">
        <x:v>5</x:v>
      </x:c>
      <x:c r="I66" s="16" t="n">
        <x:f>F66*H66</x:f>
        <x:v>0.75</x:v>
      </x:c>
      <x:c r="J66" s="6" t="str">
        <x:v>Uses rolled 10/15/20%, not the 15% generic fallback.</x:v>
      </x:c>
      <x:c r="K66" s="6" t="str">
        <x:v>Active</x:v>
      </x:c>
    </x:row>
    <x:row r="67" ht="30" customHeight="1">
      <x:c r="A67" s="6" t="str">
        <x:v>Barrage</x:v>
      </x:c>
      <x:c r="B67" s="6" t="str">
        <x:v>Attack Speed</x:v>
      </x:c>
      <x:c r="C67" s="6" t="str">
        <x:v>BarrageSpeed</x:v>
      </x:c>
      <x:c r="D67" s="6" t="str">
        <x:v>Epic</x:v>
      </x:c>
      <x:c r="E67" s="6" t="str">
        <x:v>Accumulated magnitude</x:v>
      </x:c>
      <x:c r="F67" s="15" t="n">
        <x:v>0.2</x:v>
      </x:c>
      <x:c r="G67" s="6" t="str">
        <x:v>fraction</x:v>
      </x:c>
      <x:c r="H67" s="6" t="n">
        <x:v>5</x:v>
      </x:c>
      <x:c r="I67" s="16" t="n">
        <x:f>F67*H67</x:f>
        <x:v>1</x:v>
      </x:c>
      <x:c r="J67" s="6" t="str">
        <x:v>Uses rolled 10/15/20%, not the 15% generic fallback.</x:v>
      </x:c>
      <x:c r="K67" s="6" t="str">
        <x:v>Active</x:v>
      </x:c>
    </x:row>
    <x:row r="68" ht="38" customHeight="1">
      <x:c r="A68" s="6" t="str">
        <x:v>Barrage</x:v>
      </x:c>
      <x:c r="B68" s="6" t="str">
        <x:v>Branching Blades</x:v>
      </x:c>
      <x:c r="C68" s="6" t="str">
        <x:v>BarrageSplitChance</x:v>
      </x:c>
      <x:c r="D68" s="6" t="str">
        <x:v>Fixed</x:v>
      </x:c>
      <x:c r="E68" s="6" t="str">
        <x:v>PerRank</x:v>
      </x:c>
      <x:c r="F68" s="15" t="n">
        <x:v>0.1</x:v>
      </x:c>
      <x:c r="G68" s="6" t="str">
        <x:v>probability / bonus points</x:v>
      </x:c>
      <x:c r="H68" s="6" t="n">
        <x:v>5</x:v>
      </x:c>
      <x:c r="I68" s="16" t="n">
        <x:f>F68*H68</x:f>
        <x:v>0.5</x:v>
      </x:c>
      <x:c r="J68" s="6" t="str">
        <x:v>15% base + 10 points/rank = 65%. Under Procession each rank adds 2 points of bounce retention.</x:v>
      </x:c>
      <x:c r="K68" s="6" t="str">
        <x:v>Active</x:v>
      </x:c>
    </x:row>
    <x:row r="69" ht="38" customHeight="1">
      <x:c r="A69" s="6" t="str">
        <x:v>Barrage</x:v>
      </x:c>
      <x:c r="B69" s="6" t="str">
        <x:v>Critical Precision</x:v>
      </x:c>
      <x:c r="C69" s="6" t="str">
        <x:v>BarrageCriticalChance</x:v>
      </x:c>
      <x:c r="D69" s="6" t="str">
        <x:v>Fixed</x:v>
      </x:c>
      <x:c r="E69" s="6" t="str">
        <x:v>PerRank</x:v>
      </x:c>
      <x:c r="F69" s="15" t="n">
        <x:v>0.1</x:v>
      </x:c>
      <x:c r="G69" s="6" t="str">
        <x:v>probability / bonus points</x:v>
      </x:c>
      <x:c r="H69" s="6" t="n">
        <x:v>5</x:v>
      </x:c>
      <x:c r="I69" s="16" t="n">
        <x:f>F69*H69</x:f>
        <x:v>0.5</x:v>
      </x:c>
      <x:c r="J69" s="6" t="str">
        <x:v>Base 15% + 10 percentage points/rank = 65% at rank 5.</x:v>
      </x:c>
      <x:c r="K69" s="6" t="str">
        <x:v>Active</x:v>
      </x:c>
    </x:row>
    <x:row r="70" ht="38" customHeight="1">
      <x:c r="A70" s="6" t="str">
        <x:v>Barrage</x:v>
      </x:c>
      <x:c r="B70" s="6" t="str">
        <x:v>Deep Venom</x:v>
      </x:c>
      <x:c r="C70" s="6" t="str">
        <x:v>BarragePoisonCap</x:v>
      </x:c>
      <x:c r="D70" s="6" t="str">
        <x:v>Fixed</x:v>
      </x:c>
      <x:c r="E70" s="6" t="str">
        <x:v>PerRank</x:v>
      </x:c>
      <x:c r="F70" s="13" t="n">
        <x:v>4</x:v>
      </x:c>
      <x:c r="G70" s="6" t="str">
        <x:v>stacks</x:v>
      </x:c>
      <x:c r="H70" s="6" t="n">
        <x:v>5</x:v>
      </x:c>
      <x:c r="I70" s="17" t="n">
        <x:f>F70*H70</x:f>
        <x:v>20</x:v>
      </x:c>
      <x:c r="J70" s="6" t="str">
        <x:v>Base 20 to 40 stacks at rank 5. New applications stop adding tick damage when capped, but refresh duration.</x:v>
      </x:c>
      <x:c r="K70" s="6" t="str">
        <x:v>Active</x:v>
      </x:c>
    </x:row>
    <x:row r="71" ht="38" customHeight="1">
      <x:c r="A71" s="6" t="str">
        <x:v>Barrage</x:v>
      </x:c>
      <x:c r="B71" s="6" t="str">
        <x:v>Kunai Damage</x:v>
      </x:c>
      <x:c r="C71" s="6" t="str">
        <x:v>BarrageDamage</x:v>
      </x:c>
      <x:c r="D71" s="6" t="str">
        <x:v>Common</x:v>
      </x:c>
      <x:c r="E71" s="6" t="str">
        <x:v>Accumulated magnitude</x:v>
      </x:c>
      <x:c r="F71" s="15" t="n">
        <x:v>0.2</x:v>
      </x:c>
      <x:c r="G71" s="6" t="str">
        <x:v>fraction</x:v>
      </x:c>
      <x:c r="H71" s="6" t="n">
        <x:v>5</x:v>
      </x:c>
      <x:c r="I71" s="16" t="n">
        <x:f>F71*H71</x:f>
        <x:v>1</x:v>
      </x:c>
      <x:c r="J71" s="6" t="str">
        <x:v>Uses accumulated rolled 20/30/40% magnitude; no saved PerRank key is needed. Poison inherits larger applying-hit damage.</x:v>
      </x:c>
      <x:c r="K71" s="6" t="str">
        <x:v>Active</x:v>
      </x:c>
    </x:row>
    <x:row r="72" ht="38" customHeight="1">
      <x:c r="A72" s="6" t="str">
        <x:v>Barrage</x:v>
      </x:c>
      <x:c r="B72" s="6" t="str">
        <x:v>Kunai Damage</x:v>
      </x:c>
      <x:c r="C72" s="6" t="str">
        <x:v>BarrageDamage</x:v>
      </x:c>
      <x:c r="D72" s="6" t="str">
        <x:v>Rare</x:v>
      </x:c>
      <x:c r="E72" s="6" t="str">
        <x:v>Accumulated magnitude</x:v>
      </x:c>
      <x:c r="F72" s="15" t="n">
        <x:v>0.3</x:v>
      </x:c>
      <x:c r="G72" s="6" t="str">
        <x:v>fraction</x:v>
      </x:c>
      <x:c r="H72" s="6" t="n">
        <x:v>5</x:v>
      </x:c>
      <x:c r="I72" s="16" t="n">
        <x:f>F72*H72</x:f>
        <x:v>1.5</x:v>
      </x:c>
      <x:c r="J72" s="6" t="str">
        <x:v>Uses accumulated rolled 20/30/40% magnitude; no saved PerRank key is needed. Poison inherits larger applying-hit damage.</x:v>
      </x:c>
      <x:c r="K72" s="6" t="str">
        <x:v>Active</x:v>
      </x:c>
    </x:row>
    <x:row r="73" ht="38" customHeight="1">
      <x:c r="A73" s="6" t="str">
        <x:v>Barrage</x:v>
      </x:c>
      <x:c r="B73" s="6" t="str">
        <x:v>Kunai Damage</x:v>
      </x:c>
      <x:c r="C73" s="6" t="str">
        <x:v>BarrageDamage</x:v>
      </x:c>
      <x:c r="D73" s="6" t="str">
        <x:v>Epic</x:v>
      </x:c>
      <x:c r="E73" s="6" t="str">
        <x:v>Accumulated magnitude</x:v>
      </x:c>
      <x:c r="F73" s="15" t="n">
        <x:v>0.4</x:v>
      </x:c>
      <x:c r="G73" s="6" t="str">
        <x:v>fraction</x:v>
      </x:c>
      <x:c r="H73" s="6" t="n">
        <x:v>5</x:v>
      </x:c>
      <x:c r="I73" s="16" t="n">
        <x:f>F73*H73</x:f>
        <x:v>2</x:v>
      </x:c>
      <x:c r="J73" s="6" t="str">
        <x:v>Uses accumulated rolled 20/30/40% magnitude; no saved PerRank key is needed. Poison inherits larger applying-hit damage.</x:v>
      </x:c>
      <x:c r="K73" s="6" t="str">
        <x:v>Active</x:v>
      </x:c>
    </x:row>
    <x:row r="74" ht="38" customHeight="1">
      <x:c r="A74" s="6" t="str">
        <x:v>Barrage</x:v>
      </x:c>
      <x:c r="B74" s="6" t="str">
        <x:v>Kunai Reach</x:v>
      </x:c>
      <x:c r="C74" s="6" t="str">
        <x:v>BarrageRange</x:v>
      </x:c>
      <x:c r="D74" s="6" t="str">
        <x:v>Common</x:v>
      </x:c>
      <x:c r="E74" s="6" t="str">
        <x:v>Accumulated magnitude</x:v>
      </x:c>
      <x:c r="F74" s="15" t="n">
        <x:v>0.15</x:v>
      </x:c>
      <x:c r="G74" s="6" t="str">
        <x:v>fraction</x:v>
      </x:c>
      <x:c r="H74" s="6" t="n">
        <x:v>5</x:v>
      </x:c>
      <x:c r="I74" s="16" t="n">
        <x:f>F74*H74</x:f>
        <x:v>0.75</x:v>
      </x:c>
      <x:c r="J74" s="6" t="str">
        <x:v>Additive contribution across purchased ranks. Final multiplicative stats and conditional effects are shown in mechanics/interactions.</x:v>
      </x:c>
      <x:c r="K74" s="6" t="str">
        <x:v>Active</x:v>
      </x:c>
    </x:row>
    <x:row r="75" ht="38" customHeight="1">
      <x:c r="A75" s="6" t="str">
        <x:v>Barrage</x:v>
      </x:c>
      <x:c r="B75" s="6" t="str">
        <x:v>Kunai Reach</x:v>
      </x:c>
      <x:c r="C75" s="6" t="str">
        <x:v>BarrageRange</x:v>
      </x:c>
      <x:c r="D75" s="6" t="str">
        <x:v>Rare</x:v>
      </x:c>
      <x:c r="E75" s="6" t="str">
        <x:v>Accumulated magnitude</x:v>
      </x:c>
      <x:c r="F75" s="15" t="n">
        <x:v>0.225</x:v>
      </x:c>
      <x:c r="G75" s="6" t="str">
        <x:v>fraction</x:v>
      </x:c>
      <x:c r="H75" s="6" t="n">
        <x:v>5</x:v>
      </x:c>
      <x:c r="I75" s="16" t="n">
        <x:f>F75*H75</x:f>
        <x:v>1.125</x:v>
      </x:c>
      <x:c r="J75" s="6" t="str">
        <x:v>Additive contribution across purchased ranks. Final multiplicative stats and conditional effects are shown in mechanics/interactions.</x:v>
      </x:c>
      <x:c r="K75" s="6" t="str">
        <x:v>Active</x:v>
      </x:c>
    </x:row>
    <x:row r="76" ht="38" customHeight="1">
      <x:c r="A76" s="6" t="str">
        <x:v>Barrage</x:v>
      </x:c>
      <x:c r="B76" s="6" t="str">
        <x:v>Kunai Reach</x:v>
      </x:c>
      <x:c r="C76" s="6" t="str">
        <x:v>BarrageRange</x:v>
      </x:c>
      <x:c r="D76" s="6" t="str">
        <x:v>Epic</x:v>
      </x:c>
      <x:c r="E76" s="6" t="str">
        <x:v>Accumulated magnitude</x:v>
      </x:c>
      <x:c r="F76" s="15" t="n">
        <x:v>0.3</x:v>
      </x:c>
      <x:c r="G76" s="6" t="str">
        <x:v>fraction</x:v>
      </x:c>
      <x:c r="H76" s="6" t="n">
        <x:v>5</x:v>
      </x:c>
      <x:c r="I76" s="16" t="n">
        <x:f>F76*H76</x:f>
        <x:v>1.5</x:v>
      </x:c>
      <x:c r="J76" s="6" t="str">
        <x:v>Additive contribution across purchased ranks. Final multiplicative stats and conditional effects are shown in mechanics/interactions.</x:v>
      </x:c>
      <x:c r="K76" s="6" t="str">
        <x:v>Active</x:v>
      </x:c>
    </x:row>
    <x:row r="77" ht="38" customHeight="1">
      <x:c r="A77" s="6" t="str">
        <x:v>Barrage</x:v>
      </x:c>
      <x:c r="B77" s="6" t="str">
        <x:v>Lingering Venom</x:v>
      </x:c>
      <x:c r="C77" s="6" t="str">
        <x:v>BarragePoisonDuration</x:v>
      </x:c>
      <x:c r="D77" s="6" t="str">
        <x:v>Fixed</x:v>
      </x:c>
      <x:c r="E77" s="6" t="str">
        <x:v>PerRank</x:v>
      </x:c>
      <x:c r="F77" s="13" t="n">
        <x:v>1</x:v>
      </x:c>
      <x:c r="G77" s="6" t="str">
        <x:v>seconds</x:v>
      </x:c>
      <x:c r="H77" s="6" t="n">
        <x:v>3</x:v>
      </x:c>
      <x:c r="I77" s="17" t="n">
        <x:f>F77*H77</x:f>
        <x:v>3</x:v>
      </x:c>
      <x:c r="J77" s="6" t="str">
        <x:v>5 to 8 s at rank 3; per-tick damage unchanged. Stack refreshes extend all stored poison.</x:v>
      </x:c>
      <x:c r="K77" s="6" t="str">
        <x:v>Active</x:v>
      </x:c>
    </x:row>
    <x:row r="78" ht="38" customHeight="1">
      <x:c r="A78" s="6" t="str">
        <x:v>Barrage</x:v>
      </x:c>
      <x:c r="B78" s="6" t="str">
        <x:v>Reinforcements</x:v>
      </x:c>
      <x:c r="C78" s="6" t="str">
        <x:v>BarrageAssistChance</x:v>
      </x:c>
      <x:c r="D78" s="6" t="str">
        <x:v>Fixed</x:v>
      </x:c>
      <x:c r="E78" s="6" t="str">
        <x:v>PerRank</x:v>
      </x:c>
      <x:c r="F78" s="15" t="n">
        <x:v>0.05</x:v>
      </x:c>
      <x:c r="G78" s="6" t="str">
        <x:v>probability / bonus points</x:v>
      </x:c>
      <x:c r="H78" s="6" t="n">
        <x:v>5</x:v>
      </x:c>
      <x:c r="I78" s="16" t="n">
        <x:f>F78*H78</x:f>
        <x:v>0.25</x:v>
      </x:c>
      <x:c r="J78" s="6" t="str">
        <x:v>Base 5% + 5 percentage points/rank = 30% at rank 5.</x:v>
      </x:c>
      <x:c r="K78" s="6" t="str">
        <x:v>Active</x:v>
      </x:c>
    </x:row>
    <x:row r="79" ht="38" customHeight="1">
      <x:c r="A79" s="6" t="str">
        <x:v>Barrage</x:v>
      </x:c>
      <x:c r="B79" s="6" t="str">
        <x:v>Relentless Rain</x:v>
      </x:c>
      <x:c r="C79" s="6" t="str">
        <x:v>BarrageRainFrequency</x:v>
      </x:c>
      <x:c r="D79" s="6" t="str">
        <x:v>Fixed</x:v>
      </x:c>
      <x:c r="E79" s="6" t="str">
        <x:v>PerRank</x:v>
      </x:c>
      <x:c r="F79" s="13" t="n">
        <x:v>1</x:v>
      </x:c>
      <x:c r="G79" s="6" t="str">
        <x:v>fewer attacks</x:v>
      </x:c>
      <x:c r="H79" s="6" t="n">
        <x:v>3</x:v>
      </x:c>
      <x:c r="I79" s="17" t="n">
        <x:f>F79*H79</x:f>
        <x:v>3</x:v>
      </x:c>
      <x:c r="J79" s="6" t="str">
        <x:v>Base every fourth attack/launch; ranks 1/2/3 reduce cadence to every third/second/first. Effective cap min(card cap, global cadence cap=3).</x:v>
      </x:c>
      <x:c r="K79" s="6" t="str">
        <x:v>Active</x:v>
      </x:c>
    </x:row>
    <x:row r="80" ht="38" customHeight="1">
      <x:c r="A80" s="6" t="str">
        <x:v>Barrage</x:v>
      </x:c>
      <x:c r="B80" s="6" t="str">
        <x:v>Spreading Blight</x:v>
      </x:c>
      <x:c r="C80" s="6" t="str">
        <x:v>BarragePoolRadius</x:v>
      </x:c>
      <x:c r="D80" s="6" t="str">
        <x:v>Fixed</x:v>
      </x:c>
      <x:c r="E80" s="6" t="str">
        <x:v>PerRank</x:v>
      </x:c>
      <x:c r="F80" s="15" t="n">
        <x:v>0.2</x:v>
      </x:c>
      <x:c r="G80" s="6" t="str">
        <x:v>fraction</x:v>
      </x:c>
      <x:c r="H80" s="6" t="n">
        <x:v>5</x:v>
      </x:c>
      <x:c r="I80" s="16" t="n">
        <x:f>F80*H80</x:f>
        <x:v>1</x:v>
      </x:c>
      <x:c r="J80" s="6" t="str">
        <x:v>220 to 440 cm at rank 5, additionally multiplied by permanent Barrage coverage. Also applies to Venom Bloom.</x:v>
      </x:c>
      <x:c r="K80" s="6" t="str">
        <x:v>Active</x:v>
      </x:c>
    </x:row>
    <x:row r="81" ht="38" customHeight="1">
      <x:c r="A81" s="6" t="str">
        <x:v>Barrage</x:v>
      </x:c>
      <x:c r="B81" s="6" t="str">
        <x:v>Venom Load</x:v>
      </x:c>
      <x:c r="C81" s="6" t="str">
        <x:v>BarragePoisonLoad</x:v>
      </x:c>
      <x:c r="D81" s="6" t="str">
        <x:v>Fixed</x:v>
      </x:c>
      <x:c r="E81" s="6" t="str">
        <x:v>PerRank</x:v>
      </x:c>
      <x:c r="F81" s="13" t="n">
        <x:v>1</x:v>
      </x:c>
      <x:c r="G81" s="6" t="str">
        <x:v>stacks</x:v>
      </x:c>
      <x:c r="H81" s="6" t="n">
        <x:v>3</x:v>
      </x:c>
      <x:c r="I81" s="17" t="n">
        <x:f>F81*H81</x:f>
        <x:v>3</x:v>
      </x:c>
      <x:c r="J81" s="6" t="str">
        <x:v>Saved +1 per rank; max rank 3 gives 4 stacks/hit. The C++ fallback is +2 but is overridden.</x:v>
      </x:c>
      <x:c r="K81" s="6" t="str">
        <x:v>Active</x:v>
      </x:c>
    </x:row>
    <x:row r="82" ht="38" customHeight="1">
      <x:c r="A82" s="6" t="str">
        <x:v>Giant Shuriken</x:v>
      </x:c>
      <x:c r="B82" s="6" t="str">
        <x:v>Attack Speed</x:v>
      </x:c>
      <x:c r="C82" s="6" t="str">
        <x:v>ShurikenSpeed</x:v>
      </x:c>
      <x:c r="D82" s="6" t="str">
        <x:v>Common</x:v>
      </x:c>
      <x:c r="E82" s="6" t="str">
        <x:v>Accumulated magnitude</x:v>
      </x:c>
      <x:c r="F82" s="15" t="n">
        <x:v>0.1</x:v>
      </x:c>
      <x:c r="G82" s="6" t="str">
        <x:v>fraction</x:v>
      </x:c>
      <x:c r="H82" s="6" t="n">
        <x:v>5</x:v>
      </x:c>
      <x:c r="I82" s="16" t="n">
        <x:f>F82*H82</x:f>
        <x:v>0.5</x:v>
      </x:c>
      <x:c r="J82" s="6" t="str">
        <x:v>Rolled 10/15/20% throw rate. Does not change blade travel speed or contact frequency. Saved PerRank=0.15 is bypassed while rolled rarity is enabled.</x:v>
      </x:c>
      <x:c r="K82" s="6" t="str">
        <x:v>Active</x:v>
      </x:c>
    </x:row>
    <x:row r="83" ht="38" customHeight="1">
      <x:c r="A83" s="6" t="str">
        <x:v>Giant Shuriken</x:v>
      </x:c>
      <x:c r="B83" s="6" t="str">
        <x:v>Attack Speed</x:v>
      </x:c>
      <x:c r="C83" s="6" t="str">
        <x:v>ShurikenSpeed</x:v>
      </x:c>
      <x:c r="D83" s="6" t="str">
        <x:v>Rare</x:v>
      </x:c>
      <x:c r="E83" s="6" t="str">
        <x:v>Accumulated magnitude</x:v>
      </x:c>
      <x:c r="F83" s="15" t="n">
        <x:v>0.15</x:v>
      </x:c>
      <x:c r="G83" s="6" t="str">
        <x:v>fraction</x:v>
      </x:c>
      <x:c r="H83" s="6" t="n">
        <x:v>5</x:v>
      </x:c>
      <x:c r="I83" s="16" t="n">
        <x:f>F83*H83</x:f>
        <x:v>0.75</x:v>
      </x:c>
      <x:c r="J83" s="6" t="str">
        <x:v>Rolled 10/15/20% throw rate. Does not change blade travel speed or contact frequency. Saved PerRank=0.15 is bypassed while rolled rarity is enabled.</x:v>
      </x:c>
      <x:c r="K83" s="6" t="str">
        <x:v>Active</x:v>
      </x:c>
    </x:row>
    <x:row r="84" ht="38" customHeight="1">
      <x:c r="A84" s="6" t="str">
        <x:v>Giant Shuriken</x:v>
      </x:c>
      <x:c r="B84" s="6" t="str">
        <x:v>Attack Speed</x:v>
      </x:c>
      <x:c r="C84" s="6" t="str">
        <x:v>ShurikenSpeed</x:v>
      </x:c>
      <x:c r="D84" s="6" t="str">
        <x:v>Epic</x:v>
      </x:c>
      <x:c r="E84" s="6" t="str">
        <x:v>Accumulated magnitude</x:v>
      </x:c>
      <x:c r="F84" s="15" t="n">
        <x:v>0.2</x:v>
      </x:c>
      <x:c r="G84" s="6" t="str">
        <x:v>fraction</x:v>
      </x:c>
      <x:c r="H84" s="6" t="n">
        <x:v>5</x:v>
      </x:c>
      <x:c r="I84" s="16" t="n">
        <x:f>F84*H84</x:f>
        <x:v>1</x:v>
      </x:c>
      <x:c r="J84" s="6" t="str">
        <x:v>Rolled 10/15/20% throw rate. Does not change blade travel speed or contact frequency. Saved PerRank=0.15 is bypassed while rolled rarity is enabled.</x:v>
      </x:c>
      <x:c r="K84" s="6" t="str">
        <x:v>Active</x:v>
      </x:c>
    </x:row>
    <x:row r="85" ht="38" customHeight="1">
      <x:c r="A85" s="6" t="str">
        <x:v>Giant Shuriken</x:v>
      </x:c>
      <x:c r="B85" s="6" t="str">
        <x:v>Cutting Tempo</x:v>
      </x:c>
      <x:c r="C85" s="6" t="str">
        <x:v>ShurikenTempo</x:v>
      </x:c>
      <x:c r="D85" s="6" t="str">
        <x:v>Fixed</x:v>
      </x:c>
      <x:c r="E85" s="6" t="str">
        <x:v>PerRank</x:v>
      </x:c>
      <x:c r="F85" s="15" t="n">
        <x:v>0.15</x:v>
      </x:c>
      <x:c r="G85" s="6" t="str">
        <x:v>fraction</x:v>
      </x:c>
      <x:c r="H85" s="6" t="n">
        <x:v>5</x:v>
      </x:c>
      <x:c r="I85" s="16" t="n">
        <x:f>F85*H85</x:f>
        <x:v>0.75</x:v>
      </x:c>
      <x:c r="J85" s="6" t="str">
        <x:v>Contact interval 0.25/(1+bonus), minimum 0.05 s. Pulse interval 1/(1+bonus), minimum 0.2 s; both include permanent tempo.</x:v>
      </x:c>
      <x:c r="K85" s="6" t="str">
        <x:v>Active</x:v>
      </x:c>
    </x:row>
    <x:row r="86" ht="38" customHeight="1">
      <x:c r="A86" s="6" t="str">
        <x:v>Giant Shuriken</x:v>
      </x:c>
      <x:c r="B86" s="6" t="str">
        <x:v>Deep Grooves</x:v>
      </x:c>
      <x:c r="C86" s="6" t="str">
        <x:v>ShurikenGrooves</x:v>
      </x:c>
      <x:c r="D86" s="6" t="str">
        <x:v>Fixed</x:v>
      </x:c>
      <x:c r="E86" s="6" t="str">
        <x:v>PerHitPerRank</x:v>
      </x:c>
      <x:c r="F86" s="15" t="n">
        <x:v>0.03</x:v>
      </x:c>
      <x:c r="G86" s="6" t="str">
        <x:v>probability / bonus points</x:v>
      </x:c>
      <x:c r="H86" s="6" t="n">
        <x:v>5</x:v>
      </x:c>
      <x:c r="I86" s="16" t="n">
        <x:f>F86*H86</x:f>
        <x:v>0.15</x:v>
      </x:c>
      <x:c r="J86" s="6" t="str">
        <x:v>At rank 5, +30% per contact and +150% bonus cap. First contact is still unboosted.</x:v>
      </x:c>
      <x:c r="K86" s="6" t="str">
        <x:v>Active</x:v>
      </x:c>
    </x:row>
    <x:row r="87" ht="38" customHeight="1">
      <x:c r="A87" s="6" t="str">
        <x:v>Giant Shuriken</x:v>
      </x:c>
      <x:c r="B87" s="6" t="str">
        <x:v>Deep Grooves</x:v>
      </x:c>
      <x:c r="C87" s="6" t="str">
        <x:v>ShurikenGrooves</x:v>
      </x:c>
      <x:c r="D87" s="6" t="str">
        <x:v>Fixed</x:v>
      </x:c>
      <x:c r="E87" s="6" t="str">
        <x:v>CapPerRank</x:v>
      </x:c>
      <x:c r="F87" s="15" t="n">
        <x:v>0.15</x:v>
      </x:c>
      <x:c r="G87" s="6" t="str">
        <x:v>probability / bonus points</x:v>
      </x:c>
      <x:c r="H87" s="6" t="n">
        <x:v>5</x:v>
      </x:c>
      <x:c r="I87" s="16" t="n">
        <x:f>F87*H87</x:f>
        <x:v>0.75</x:v>
      </x:c>
      <x:c r="J87" s="6" t="str">
        <x:v>At rank 5, +30% per contact and +150% bonus cap. First contact is still unboosted.</x:v>
      </x:c>
      <x:c r="K87" s="6" t="str">
        <x:v>Active</x:v>
      </x:c>
    </x:row>
    <x:row r="88" ht="38" customHeight="1">
      <x:c r="A88" s="6" t="str">
        <x:v>Giant Shuriken</x:v>
      </x:c>
      <x:c r="B88" s="6" t="str">
        <x:v>Lingering Shuriken</x:v>
      </x:c>
      <x:c r="C88" s="6" t="str">
        <x:v>LingeringShuriken</x:v>
      </x:c>
      <x:c r="D88" s="6" t="str">
        <x:v>Fixed</x:v>
      </x:c>
      <x:c r="E88" s="6" t="str">
        <x:v>LifetimeBonusPerRank</x:v>
      </x:c>
      <x:c r="F88" s="15" t="n">
        <x:v>0.3</x:v>
      </x:c>
      <x:c r="G88" s="6" t="str">
        <x:v>fraction</x:v>
      </x:c>
      <x:c r="H88" s="6" t="n">
        <x:v>3</x:v>
      </x:c>
      <x:c r="I88" s="16" t="n">
        <x:f>F88*H88</x:f>
        <x:v>0.8999999999999999</x:v>
      </x:c>
      <x:c r="J88" s="6" t="str">
        <x:v>1.5 to 2.85 s at rank 3. Extends flight and growth time; no direct damage multiplier.</x:v>
      </x:c>
      <x:c r="K88" s="6" t="str">
        <x:v>Active</x:v>
      </x:c>
    </x:row>
    <x:row r="89" ht="38" customHeight="1">
      <x:c r="A89" s="6" t="str">
        <x:v>Giant Shuriken</x:v>
      </x:c>
      <x:c r="B89" s="6" t="str">
        <x:v>Persistent Grind</x:v>
      </x:c>
      <x:c r="C89" s="6" t="str">
        <x:v>ShurikenGrindDuration</x:v>
      </x:c>
      <x:c r="D89" s="6" t="str">
        <x:v>Fixed</x:v>
      </x:c>
      <x:c r="E89" s="6" t="str">
        <x:v>PerRank</x:v>
      </x:c>
      <x:c r="F89" s="14" t="n">
        <x:v>0.2</x:v>
      </x:c>
      <x:c r="G89" s="6" t="str">
        <x:v>seconds</x:v>
      </x:c>
      <x:c r="H89" s="6" t="n">
        <x:v>5</x:v>
      </x:c>
      <x:c r="I89" s="18" t="n">
        <x:f>F89*H89</x:f>
        <x:v>1</x:v>
      </x:c>
      <x:c r="J89" s="6" t="str">
        <x:v>1 to 2 s slow at rank 5, but actual benefit is bounded by remaining blade lifetime. Late ranks need lifetime investment (F08).</x:v>
      </x:c>
      <x:c r="K89" s="6" t="str">
        <x:v>Active</x:v>
      </x:c>
    </x:row>
    <x:row r="90" ht="38" customHeight="1">
      <x:c r="A90" s="6" t="str">
        <x:v>Giant Shuriken</x:v>
      </x:c>
      <x:c r="B90" s="6" t="str">
        <x:v>Reinforcements</x:v>
      </x:c>
      <x:c r="C90" s="6" t="str">
        <x:v>ShurikenAssistChance</x:v>
      </x:c>
      <x:c r="D90" s="6" t="str">
        <x:v>Fixed</x:v>
      </x:c>
      <x:c r="E90" s="6" t="str">
        <x:v>PerRank</x:v>
      </x:c>
      <x:c r="F90" s="15" t="n">
        <x:v>0.05</x:v>
      </x:c>
      <x:c r="G90" s="6" t="str">
        <x:v>probability / bonus points</x:v>
      </x:c>
      <x:c r="H90" s="6" t="n">
        <x:v>5</x:v>
      </x:c>
      <x:c r="I90" s="16" t="n">
        <x:f>F90*H90</x:f>
        <x:v>0.25</x:v>
      </x:c>
      <x:c r="J90" s="6" t="str">
        <x:v>Base 5% + 5 percentage points/rank = 30% at rank 5.</x:v>
      </x:c>
      <x:c r="K90" s="6" t="str">
        <x:v>Active</x:v>
      </x:c>
    </x:row>
    <x:row r="91" ht="38" customHeight="1">
      <x:c r="A91" s="6" t="str">
        <x:v>Giant Shuriken</x:v>
      </x:c>
      <x:c r="B91" s="6" t="str">
        <x:v>Shattering Force</x:v>
      </x:c>
      <x:c r="C91" s="6" t="str">
        <x:v>ShurikenBurstPower</x:v>
      </x:c>
      <x:c r="D91" s="6" t="str">
        <x:v>Fixed</x:v>
      </x:c>
      <x:c r="E91" s="6" t="str">
        <x:v>PerRank</x:v>
      </x:c>
      <x:c r="F91" s="15" t="n">
        <x:v>0.15</x:v>
      </x:c>
      <x:c r="G91" s="6" t="str">
        <x:v>fraction</x:v>
      </x:c>
      <x:c r="H91" s="6" t="n">
        <x:v>5</x:v>
      </x:c>
      <x:c r="I91" s="16" t="n">
        <x:f>F91*H91</x:f>
        <x:v>0.75</x:v>
      </x:c>
      <x:c r="J91" s="6" t="str">
        <x:v>Additive contribution across purchased ranks. Final multiplicative stats and conditional effects are shown in mechanics/interactions.</x:v>
      </x:c>
      <x:c r="K91" s="6" t="str">
        <x:v>Active</x:v>
      </x:c>
    </x:row>
    <x:row r="92" ht="38" customHeight="1">
      <x:c r="A92" s="6" t="str">
        <x:v>Giant Shuriken</x:v>
      </x:c>
      <x:c r="B92" s="6" t="str">
        <x:v>Shuriken Damage</x:v>
      </x:c>
      <x:c r="C92" s="6" t="str">
        <x:v>ShurikenDamage</x:v>
      </x:c>
      <x:c r="D92" s="6" t="str">
        <x:v>Common</x:v>
      </x:c>
      <x:c r="E92" s="6" t="str">
        <x:v>Accumulated magnitude</x:v>
      </x:c>
      <x:c r="F92" s="15" t="n">
        <x:v>0.2</x:v>
      </x:c>
      <x:c r="G92" s="6" t="str">
        <x:v>fraction</x:v>
      </x:c>
      <x:c r="H92" s="6" t="n">
        <x:v>5</x:v>
      </x:c>
      <x:c r="I92" s="16" t="n">
        <x:f>F92*H92</x:f>
        <x:v>1</x:v>
      </x:c>
      <x:c r="J92" s="6" t="str">
        <x:v>Additive contribution across purchased ranks. Final multiplicative stats and conditional effects are shown in mechanics/interactions.</x:v>
      </x:c>
      <x:c r="K92" s="6" t="str">
        <x:v>Active</x:v>
      </x:c>
    </x:row>
    <x:row r="93" ht="38" customHeight="1">
      <x:c r="A93" s="6" t="str">
        <x:v>Giant Shuriken</x:v>
      </x:c>
      <x:c r="B93" s="6" t="str">
        <x:v>Shuriken Damage</x:v>
      </x:c>
      <x:c r="C93" s="6" t="str">
        <x:v>ShurikenDamage</x:v>
      </x:c>
      <x:c r="D93" s="6" t="str">
        <x:v>Rare</x:v>
      </x:c>
      <x:c r="E93" s="6" t="str">
        <x:v>Accumulated magnitude</x:v>
      </x:c>
      <x:c r="F93" s="15" t="n">
        <x:v>0.3</x:v>
      </x:c>
      <x:c r="G93" s="6" t="str">
        <x:v>fraction</x:v>
      </x:c>
      <x:c r="H93" s="6" t="n">
        <x:v>5</x:v>
      </x:c>
      <x:c r="I93" s="16" t="n">
        <x:f>F93*H93</x:f>
        <x:v>1.5</x:v>
      </x:c>
      <x:c r="J93" s="6" t="str">
        <x:v>Additive contribution across purchased ranks. Final multiplicative stats and conditional effects are shown in mechanics/interactions.</x:v>
      </x:c>
      <x:c r="K93" s="6" t="str">
        <x:v>Active</x:v>
      </x:c>
    </x:row>
    <x:row r="94" ht="38" customHeight="1">
      <x:c r="A94" s="6" t="str">
        <x:v>Giant Shuriken</x:v>
      </x:c>
      <x:c r="B94" s="6" t="str">
        <x:v>Shuriken Damage</x:v>
      </x:c>
      <x:c r="C94" s="6" t="str">
        <x:v>ShurikenDamage</x:v>
      </x:c>
      <x:c r="D94" s="6" t="str">
        <x:v>Epic</x:v>
      </x:c>
      <x:c r="E94" s="6" t="str">
        <x:v>Accumulated magnitude</x:v>
      </x:c>
      <x:c r="F94" s="15" t="n">
        <x:v>0.4</x:v>
      </x:c>
      <x:c r="G94" s="6" t="str">
        <x:v>fraction</x:v>
      </x:c>
      <x:c r="H94" s="6" t="n">
        <x:v>5</x:v>
      </x:c>
      <x:c r="I94" s="16" t="n">
        <x:f>F94*H94</x:f>
        <x:v>2</x:v>
      </x:c>
      <x:c r="J94" s="6" t="str">
        <x:v>Additive contribution across purchased ranks. Final multiplicative stats and conditional effects are shown in mechanics/interactions.</x:v>
      </x:c>
      <x:c r="K94" s="6" t="str">
        <x:v>Active</x:v>
      </x:c>
    </x:row>
    <x:row r="95" ht="38" customHeight="1">
      <x:c r="A95" s="6" t="str">
        <x:v>Giant Shuriken</x:v>
      </x:c>
      <x:c r="B95" s="6" t="str">
        <x:v>Shuriken Size</x:v>
      </x:c>
      <x:c r="C95" s="6" t="str">
        <x:v>ShurikenSize</x:v>
      </x:c>
      <x:c r="D95" s="6" t="str">
        <x:v>Common</x:v>
      </x:c>
      <x:c r="E95" s="6" t="str">
        <x:v>Accumulated magnitude</x:v>
      </x:c>
      <x:c r="F95" s="15" t="n">
        <x:v>0.15</x:v>
      </x:c>
      <x:c r="G95" s="6" t="str">
        <x:v>fraction</x:v>
      </x:c>
      <x:c r="H95" s="6" t="n">
        <x:v>5</x:v>
      </x:c>
      <x:c r="I95" s="16" t="n">
        <x:f>F95*H95</x:f>
        <x:v>0.75</x:v>
      </x:c>
      <x:c r="J95" s="6" t="str">
        <x:v>Additive contribution across purchased ranks. Final multiplicative stats and conditional effects are shown in mechanics/interactions.</x:v>
      </x:c>
      <x:c r="K95" s="6" t="str">
        <x:v>Active</x:v>
      </x:c>
    </x:row>
    <x:row r="96" ht="38" customHeight="1">
      <x:c r="A96" s="6" t="str">
        <x:v>Giant Shuriken</x:v>
      </x:c>
      <x:c r="B96" s="6" t="str">
        <x:v>Shuriken Size</x:v>
      </x:c>
      <x:c r="C96" s="6" t="str">
        <x:v>ShurikenSize</x:v>
      </x:c>
      <x:c r="D96" s="6" t="str">
        <x:v>Rare</x:v>
      </x:c>
      <x:c r="E96" s="6" t="str">
        <x:v>Accumulated magnitude</x:v>
      </x:c>
      <x:c r="F96" s="15" t="n">
        <x:v>0.22</x:v>
      </x:c>
      <x:c r="G96" s="6" t="str">
        <x:v>fraction</x:v>
      </x:c>
      <x:c r="H96" s="6" t="n">
        <x:v>5</x:v>
      </x:c>
      <x:c r="I96" s="16" t="n">
        <x:f>F96*H96</x:f>
        <x:v>1.1</x:v>
      </x:c>
      <x:c r="J96" s="6" t="str">
        <x:v>Additive contribution across purchased ranks. Final multiplicative stats and conditional effects are shown in mechanics/interactions.</x:v>
      </x:c>
      <x:c r="K96" s="6" t="str">
        <x:v>Active</x:v>
      </x:c>
    </x:row>
    <x:row r="97" ht="38" customHeight="1">
      <x:c r="A97" s="6" t="str">
        <x:v>Giant Shuriken</x:v>
      </x:c>
      <x:c r="B97" s="6" t="str">
        <x:v>Shuriken Size</x:v>
      </x:c>
      <x:c r="C97" s="6" t="str">
        <x:v>ShurikenSize</x:v>
      </x:c>
      <x:c r="D97" s="6" t="str">
        <x:v>Epic</x:v>
      </x:c>
      <x:c r="E97" s="6" t="str">
        <x:v>Accumulated magnitude</x:v>
      </x:c>
      <x:c r="F97" s="15" t="n">
        <x:v>0.3</x:v>
      </x:c>
      <x:c r="G97" s="6" t="str">
        <x:v>fraction</x:v>
      </x:c>
      <x:c r="H97" s="6" t="n">
        <x:v>5</x:v>
      </x:c>
      <x:c r="I97" s="16" t="n">
        <x:f>F97*H97</x:f>
        <x:v>1.5</x:v>
      </x:c>
      <x:c r="J97" s="6" t="str">
        <x:v>Additive contribution across purchased ranks. Final multiplicative stats and conditional effects are shown in mechanics/interactions.</x:v>
      </x:c>
      <x:c r="K97" s="6" t="str">
        <x:v>Active</x:v>
      </x:c>
    </x:row>
    <x:row r="98" ht="38" customHeight="1">
      <x:c r="A98" s="6" t="str">
        <x:v>Giant Shuriken</x:v>
      </x:c>
      <x:c r="B98" s="6" t="str">
        <x:v>Twin Frequency</x:v>
      </x:c>
      <x:c r="C98" s="6" t="str">
        <x:v>ShurikenTwinFrequency</x:v>
      </x:c>
      <x:c r="D98" s="6" t="str">
        <x:v>Fixed</x:v>
      </x:c>
      <x:c r="E98" s="6" t="str">
        <x:v>PerRank</x:v>
      </x:c>
      <x:c r="F98" s="13" t="n">
        <x:v>1</x:v>
      </x:c>
      <x:c r="G98" s="6" t="str">
        <x:v>fewer attacks</x:v>
      </x:c>
      <x:c r="H98" s="6" t="n">
        <x:v>3</x:v>
      </x:c>
      <x:c r="I98" s="17" t="n">
        <x:f>F98*H98</x:f>
        <x:v>3</x:v>
      </x:c>
      <x:c r="J98" s="6" t="str">
        <x:v>Base every fourth attack/launch; ranks 1/2/3 reduce cadence to every third/second/first. Effective cap min(card cap, global cadence cap=3).</x:v>
      </x:c>
      <x:c r="K98" s="6" t="str">
        <x:v>Active</x:v>
      </x:c>
    </x:row>
    <x:row r="99" ht="38" customHeight="1">
      <x:c r="A99" s="6" t="str">
        <x:v>Giant Shuriken</x:v>
      </x:c>
      <x:c r="B99" s="6" t="str">
        <x:v>Unstoppable Growth</x:v>
      </x:c>
      <x:c r="C99" s="6" t="str">
        <x:v>ShurikenGrowth</x:v>
      </x:c>
      <x:c r="D99" s="6" t="str">
        <x:v>Fixed</x:v>
      </x:c>
      <x:c r="E99" s="6" t="str">
        <x:v>PerRank</x:v>
      </x:c>
      <x:c r="F99" s="15" t="n">
        <x:v>0.2</x:v>
      </x:c>
      <x:c r="G99" s="6" t="str">
        <x:v>probability / bonus points</x:v>
      </x:c>
      <x:c r="H99" s="6" t="n">
        <x:v>5</x:v>
      </x:c>
      <x:c r="I99" s="16" t="n">
        <x:f>F99*H99</x:f>
        <x:v>1</x:v>
      </x:c>
      <x:c r="J99" s="6" t="str">
        <x:v>Adds +0.2 to the size cap per rank, reaching x3 at rank 5. Raises both time growth and Blood Hunger cap. Requires Growing Shuriken.</x:v>
      </x:c>
      <x:c r="K99" s="6" t="str">
        <x:v>Active</x:v>
      </x:c>
    </x:row>
    <x:row r="100" ht="38" customHeight="1">
      <x:c r="A100" s="6" t="str">
        <x:v>Shared</x:v>
      </x:c>
      <x:c r="B100" s="6" t="str">
        <x:v>Extra Dash</x:v>
      </x:c>
      <x:c r="C100" s="6" t="str">
        <x:v>GlobalDashCharge</x:v>
      </x:c>
      <x:c r="D100" s="6" t="str">
        <x:v>Fixed</x:v>
      </x:c>
      <x:c r="E100" s="6" t="str">
        <x:v>Max Dash Charges</x:v>
      </x:c>
      <x:c r="F100" s="13" t="n">
        <x:v>1</x:v>
      </x:c>
      <x:c r="G100" s="6" t="str">
        <x:v>charges</x:v>
      </x:c>
      <x:c r="H100" s="6" t="n">
        <x:v>4</x:v>
      </x:c>
      <x:c r="I100" s="17" t="n">
        <x:f>F100*H100</x:f>
        <x:v>4</x:v>
      </x:c>
      <x:c r="J100" s="6" t="str">
        <x:v>Additive contribution across purchased ranks. Final multiplicative stats and conditional effects are shown in mechanics/interactions.</x:v>
      </x:c>
      <x:c r="K100" s="6" t="str">
        <x:v>Active</x:v>
      </x:c>
    </x:row>
    <x:row r="101" ht="38" customHeight="1">
      <x:c r="A101" s="6" t="str">
        <x:v>Shared</x:v>
      </x:c>
      <x:c r="B101" s="6" t="str">
        <x:v>Fleetfoot</x:v>
      </x:c>
      <x:c r="C101" s="6" t="str">
        <x:v>GlobalMovespeed</x:v>
      </x:c>
      <x:c r="D101" s="6" t="str">
        <x:v>Common</x:v>
      </x:c>
      <x:c r="E101" s="6" t="str">
        <x:v>Accumulated magnitude</x:v>
      </x:c>
      <x:c r="F101" s="15" t="n">
        <x:v>0.05</x:v>
      </x:c>
      <x:c r="G101" s="6" t="str">
        <x:v>fraction</x:v>
      </x:c>
      <x:c r="H101" s="6" t="n">
        <x:v>10</x:v>
      </x:c>
      <x:c r="I101" s="16" t="n">
        <x:f>F101*H101</x:f>
        <x:v>0.5</x:v>
      </x:c>
      <x:c r="J101" s="6" t="str">
        <x:v>Additive contribution across purchased ranks. Final multiplicative stats and conditional effects are shown in mechanics/interactions.</x:v>
      </x:c>
      <x:c r="K101" s="6" t="str">
        <x:v>Active</x:v>
      </x:c>
    </x:row>
    <x:row r="102" ht="38" customHeight="1">
      <x:c r="A102" s="6" t="str">
        <x:v>Shared</x:v>
      </x:c>
      <x:c r="B102" s="6" t="str">
        <x:v>Fleetfoot</x:v>
      </x:c>
      <x:c r="C102" s="6" t="str">
        <x:v>GlobalMovespeed</x:v>
      </x:c>
      <x:c r="D102" s="6" t="str">
        <x:v>Rare</x:v>
      </x:c>
      <x:c r="E102" s="6" t="str">
        <x:v>Accumulated magnitude</x:v>
      </x:c>
      <x:c r="F102" s="15" t="n">
        <x:v>0.08</x:v>
      </x:c>
      <x:c r="G102" s="6" t="str">
        <x:v>fraction</x:v>
      </x:c>
      <x:c r="H102" s="6" t="n">
        <x:v>10</x:v>
      </x:c>
      <x:c r="I102" s="16" t="n">
        <x:f>F102*H102</x:f>
        <x:v>0.8</x:v>
      </x:c>
      <x:c r="J102" s="6" t="str">
        <x:v>Additive contribution across purchased ranks. Final multiplicative stats and conditional effects are shown in mechanics/interactions.</x:v>
      </x:c>
      <x:c r="K102" s="6" t="str">
        <x:v>Active</x:v>
      </x:c>
    </x:row>
    <x:row r="103" ht="38" customHeight="1">
      <x:c r="A103" s="6" t="str">
        <x:v>Shared</x:v>
      </x:c>
      <x:c r="B103" s="6" t="str">
        <x:v>Fleetfoot</x:v>
      </x:c>
      <x:c r="C103" s="6" t="str">
        <x:v>GlobalMovespeed</x:v>
      </x:c>
      <x:c r="D103" s="6" t="str">
        <x:v>Epic</x:v>
      </x:c>
      <x:c r="E103" s="6" t="str">
        <x:v>Accumulated magnitude</x:v>
      </x:c>
      <x:c r="F103" s="15" t="n">
        <x:v>0.12</x:v>
      </x:c>
      <x:c r="G103" s="6" t="str">
        <x:v>fraction</x:v>
      </x:c>
      <x:c r="H103" s="6" t="n">
        <x:v>10</x:v>
      </x:c>
      <x:c r="I103" s="16" t="n">
        <x:f>F103*H103</x:f>
        <x:v>1.2</x:v>
      </x:c>
      <x:c r="J103" s="6" t="str">
        <x:v>Additive contribution across purchased ranks. Final multiplicative stats and conditional effects are shown in mechanics/interactions.</x:v>
      </x:c>
      <x:c r="K103" s="6" t="str">
        <x:v>Active</x:v>
      </x:c>
    </x:row>
    <x:row r="104" ht="38" customHeight="1">
      <x:c r="A104" s="6" t="str">
        <x:v>Shared</x:v>
      </x:c>
      <x:c r="B104" s="6" t="str">
        <x:v>Magnetism</x:v>
      </x:c>
      <x:c r="C104" s="6" t="str">
        <x:v>GlobalPickupRadius</x:v>
      </x:c>
      <x:c r="D104" s="6" t="str">
        <x:v>Common</x:v>
      </x:c>
      <x:c r="E104" s="6" t="str">
        <x:v>Accumulated magnitude</x:v>
      </x:c>
      <x:c r="F104" s="15" t="n">
        <x:v>0.3</x:v>
      </x:c>
      <x:c r="G104" s="6" t="str">
        <x:v>fraction</x:v>
      </x:c>
      <x:c r="H104" s="6" t="n">
        <x:v>10</x:v>
      </x:c>
      <x:c r="I104" s="16" t="n">
        <x:f>F104*H104</x:f>
        <x:v>3</x:v>
      </x:c>
      <x:c r="J104" s="6" t="str">
        <x:v>Additive contribution across purchased ranks. Final multiplicative stats and conditional effects are shown in mechanics/interactions.</x:v>
      </x:c>
      <x:c r="K104" s="6" t="str">
        <x:v>Active</x:v>
      </x:c>
    </x:row>
    <x:row r="105" ht="38" customHeight="1">
      <x:c r="A105" s="6" t="str">
        <x:v>Shared</x:v>
      </x:c>
      <x:c r="B105" s="6" t="str">
        <x:v>Magnetism</x:v>
      </x:c>
      <x:c r="C105" s="6" t="str">
        <x:v>GlobalPickupRadius</x:v>
      </x:c>
      <x:c r="D105" s="6" t="str">
        <x:v>Rare</x:v>
      </x:c>
      <x:c r="E105" s="6" t="str">
        <x:v>Accumulated magnitude</x:v>
      </x:c>
      <x:c r="F105" s="15" t="n">
        <x:v>0.5</x:v>
      </x:c>
      <x:c r="G105" s="6" t="str">
        <x:v>fraction</x:v>
      </x:c>
      <x:c r="H105" s="6" t="n">
        <x:v>10</x:v>
      </x:c>
      <x:c r="I105" s="16" t="n">
        <x:f>F105*H105</x:f>
        <x:v>5</x:v>
      </x:c>
      <x:c r="J105" s="6" t="str">
        <x:v>Additive contribution across purchased ranks. Final multiplicative stats and conditional effects are shown in mechanics/interactions.</x:v>
      </x:c>
      <x:c r="K105" s="6" t="str">
        <x:v>Active</x:v>
      </x:c>
    </x:row>
    <x:row r="106" ht="38" customHeight="1">
      <x:c r="A106" s="6" t="str">
        <x:v>Shared</x:v>
      </x:c>
      <x:c r="B106" s="6" t="str">
        <x:v>Magnetism</x:v>
      </x:c>
      <x:c r="C106" s="6" t="str">
        <x:v>GlobalPickupRadius</x:v>
      </x:c>
      <x:c r="D106" s="6" t="str">
        <x:v>Epic</x:v>
      </x:c>
      <x:c r="E106" s="6" t="str">
        <x:v>Accumulated magnitude</x:v>
      </x:c>
      <x:c r="F106" s="15" t="n">
        <x:v>0.8</x:v>
      </x:c>
      <x:c r="G106" s="6" t="str">
        <x:v>fraction</x:v>
      </x:c>
      <x:c r="H106" s="6" t="n">
        <x:v>10</x:v>
      </x:c>
      <x:c r="I106" s="16" t="n">
        <x:f>F106*H106</x:f>
        <x:v>8</x:v>
      </x:c>
      <x:c r="J106" s="6" t="str">
        <x:v>Additive contribution across purchased ranks. Final multiplicative stats and conditional effects are shown in mechanics/interactions.</x:v>
      </x:c>
      <x:c r="K106" s="6" t="str">
        <x:v>Active</x:v>
      </x:c>
    </x:row>
    <x:row r="107" ht="51" customHeight="1">
      <x:c r="A107" s="6" t="str">
        <x:v>Shared</x:v>
      </x:c>
      <x:c r="B107" s="6" t="str">
        <x:v>Quickening</x:v>
      </x:c>
      <x:c r="C107" s="6" t="str">
        <x:v>GlobalAttackSpeed</x:v>
      </x:c>
      <x:c r="D107" s="6" t="str">
        <x:v>Common</x:v>
      </x:c>
      <x:c r="E107" s="6" t="str">
        <x:v>Accumulated magnitude</x:v>
      </x:c>
      <x:c r="F107" s="15" t="n">
        <x:v>0.05</x:v>
      </x:c>
      <x:c r="G107" s="6" t="str">
        <x:v>fraction</x:v>
      </x:c>
      <x:c r="H107" s="6" t="n">
        <x:v>10</x:v>
      </x:c>
      <x:c r="I107" s="16" t="n">
        <x:f>F107*H107</x:f>
        <x:v>0.5</x:v>
      </x:c>
      <x:c r="J107" s="6" t="str">
        <x:v>Run stat scales normal attack/recovery intervals. Unlike permanent cadence conversion, it speeds Shuriken throws and Iaijutsu recovery, not contact tempo or charge.</x:v>
      </x:c>
      <x:c r="K107" s="6" t="str">
        <x:v>Active</x:v>
      </x:c>
    </x:row>
    <x:row r="108" ht="51" customHeight="1">
      <x:c r="A108" s="6" t="str">
        <x:v>Shared</x:v>
      </x:c>
      <x:c r="B108" s="6" t="str">
        <x:v>Quickening</x:v>
      </x:c>
      <x:c r="C108" s="6" t="str">
        <x:v>GlobalAttackSpeed</x:v>
      </x:c>
      <x:c r="D108" s="6" t="str">
        <x:v>Rare</x:v>
      </x:c>
      <x:c r="E108" s="6" t="str">
        <x:v>Accumulated magnitude</x:v>
      </x:c>
      <x:c r="F108" s="15" t="n">
        <x:v>0.08</x:v>
      </x:c>
      <x:c r="G108" s="6" t="str">
        <x:v>fraction</x:v>
      </x:c>
      <x:c r="H108" s="6" t="n">
        <x:v>10</x:v>
      </x:c>
      <x:c r="I108" s="16" t="n">
        <x:f>F108*H108</x:f>
        <x:v>0.8</x:v>
      </x:c>
      <x:c r="J108" s="6" t="str">
        <x:v>Run stat scales normal attack/recovery intervals. Unlike permanent cadence conversion, it speeds Shuriken throws and Iaijutsu recovery, not contact tempo or charge.</x:v>
      </x:c>
      <x:c r="K108" s="6" t="str">
        <x:v>Active</x:v>
      </x:c>
    </x:row>
    <x:row r="109" ht="51" customHeight="1">
      <x:c r="A109" s="6" t="str">
        <x:v>Shared</x:v>
      </x:c>
      <x:c r="B109" s="6" t="str">
        <x:v>Quickening</x:v>
      </x:c>
      <x:c r="C109" s="6" t="str">
        <x:v>GlobalAttackSpeed</x:v>
      </x:c>
      <x:c r="D109" s="6" t="str">
        <x:v>Epic</x:v>
      </x:c>
      <x:c r="E109" s="6" t="str">
        <x:v>Accumulated magnitude</x:v>
      </x:c>
      <x:c r="F109" s="15" t="n">
        <x:v>0.12</x:v>
      </x:c>
      <x:c r="G109" s="6" t="str">
        <x:v>fraction</x:v>
      </x:c>
      <x:c r="H109" s="6" t="n">
        <x:v>10</x:v>
      </x:c>
      <x:c r="I109" s="16" t="n">
        <x:f>F109*H109</x:f>
        <x:v>1.2</x:v>
      </x:c>
      <x:c r="J109" s="6" t="str">
        <x:v>Run stat scales normal attack/recovery intervals. Unlike permanent cadence conversion, it speeds Shuriken throws and Iaijutsu recovery, not contact tempo or charge.</x:v>
      </x:c>
      <x:c r="K109" s="6" t="str">
        <x:v>Active</x:v>
      </x:c>
    </x:row>
    <x:row r="110" ht="38" customHeight="1">
      <x:c r="A110" s="6" t="str">
        <x:v>Shared</x:v>
      </x:c>
      <x:c r="B110" s="6" t="str">
        <x:v>Shared Strength</x:v>
      </x:c>
      <x:c r="C110" s="6" t="str">
        <x:v>GlobalDamage</x:v>
      </x:c>
      <x:c r="D110" s="6" t="str">
        <x:v>Common</x:v>
      </x:c>
      <x:c r="E110" s="6" t="str">
        <x:v>Accumulated magnitude</x:v>
      </x:c>
      <x:c r="F110" s="15" t="n">
        <x:v>0.1</x:v>
      </x:c>
      <x:c r="G110" s="6" t="str">
        <x:v>fraction</x:v>
      </x:c>
      <x:c r="H110" s="6" t="n">
        <x:v>10</x:v>
      </x:c>
      <x:c r="I110" s="16" t="n">
        <x:f>F110*H110</x:f>
        <x:v>1</x:v>
      </x:c>
      <x:c r="J110" s="6" t="str">
        <x:v>Additive contribution across purchased ranks. Final multiplicative stats and conditional effects are shown in mechanics/interactions.</x:v>
      </x:c>
      <x:c r="K110" s="6" t="str">
        <x:v>Active</x:v>
      </x:c>
    </x:row>
    <x:row r="111" ht="38" customHeight="1">
      <x:c r="A111" s="6" t="str">
        <x:v>Shared</x:v>
      </x:c>
      <x:c r="B111" s="6" t="str">
        <x:v>Shared Strength</x:v>
      </x:c>
      <x:c r="C111" s="6" t="str">
        <x:v>GlobalDamage</x:v>
      </x:c>
      <x:c r="D111" s="6" t="str">
        <x:v>Rare</x:v>
      </x:c>
      <x:c r="E111" s="6" t="str">
        <x:v>Accumulated magnitude</x:v>
      </x:c>
      <x:c r="F111" s="15" t="n">
        <x:v>0.15</x:v>
      </x:c>
      <x:c r="G111" s="6" t="str">
        <x:v>fraction</x:v>
      </x:c>
      <x:c r="H111" s="6" t="n">
        <x:v>10</x:v>
      </x:c>
      <x:c r="I111" s="16" t="n">
        <x:f>F111*H111</x:f>
        <x:v>1.5</x:v>
      </x:c>
      <x:c r="J111" s="6" t="str">
        <x:v>Additive contribution across purchased ranks. Final multiplicative stats and conditional effects are shown in mechanics/interactions.</x:v>
      </x:c>
      <x:c r="K111" s="6" t="str">
        <x:v>Active</x:v>
      </x:c>
    </x:row>
    <x:row r="112" ht="38" customHeight="1">
      <x:c r="A112" s="6" t="str">
        <x:v>Shared</x:v>
      </x:c>
      <x:c r="B112" s="6" t="str">
        <x:v>Shared Strength</x:v>
      </x:c>
      <x:c r="C112" s="6" t="str">
        <x:v>GlobalDamage</x:v>
      </x:c>
      <x:c r="D112" s="6" t="str">
        <x:v>Epic</x:v>
      </x:c>
      <x:c r="E112" s="6" t="str">
        <x:v>Accumulated magnitude</x:v>
      </x:c>
      <x:c r="F112" s="15" t="n">
        <x:v>0.2</x:v>
      </x:c>
      <x:c r="G112" s="6" t="str">
        <x:v>fraction</x:v>
      </x:c>
      <x:c r="H112" s="6" t="n">
        <x:v>10</x:v>
      </x:c>
      <x:c r="I112" s="16" t="n">
        <x:f>F112*H112</x:f>
        <x:v>2</x:v>
      </x:c>
      <x:c r="J112" s="6" t="str">
        <x:v>Additive contribution across purchased ranks. Final multiplicative stats and conditional effects are shown in mechanics/interactions.</x:v>
      </x:c>
      <x:c r="K112" s="6" t="str">
        <x:v>Active</x:v>
      </x:c>
    </x:row>
    <x:row r="113" ht="38" customHeight="1">
      <x:c r="A113" s="6" t="str">
        <x:v>Shared</x:v>
      </x:c>
      <x:c r="B113" s="6" t="str">
        <x:v>Vitality</x:v>
      </x:c>
      <x:c r="C113" s="6" t="str">
        <x:v>GlobalMaxHealth</x:v>
      </x:c>
      <x:c r="D113" s="6" t="str">
        <x:v>Common</x:v>
      </x:c>
      <x:c r="E113" s="6" t="str">
        <x:v>Accumulated magnitude</x:v>
      </x:c>
      <x:c r="F113" s="15" t="n">
        <x:v>0.05</x:v>
      </x:c>
      <x:c r="G113" s="6" t="str">
        <x:v>fraction</x:v>
      </x:c>
      <x:c r="H113" s="6" t="n">
        <x:v>10</x:v>
      </x:c>
      <x:c r="I113" s="16" t="n">
        <x:f>F113*H113</x:f>
        <x:v>0.5</x:v>
      </x:c>
      <x:c r="J113" s="6" t="str">
        <x:v>Additive contribution across purchased ranks. Final multiplicative stats and conditional effects are shown in mechanics/interactions.</x:v>
      </x:c>
      <x:c r="K113" s="6" t="str">
        <x:v>Active</x:v>
      </x:c>
    </x:row>
    <x:row r="114" ht="38" customHeight="1">
      <x:c r="A114" s="6" t="str">
        <x:v>Shared</x:v>
      </x:c>
      <x:c r="B114" s="6" t="str">
        <x:v>Vitality</x:v>
      </x:c>
      <x:c r="C114" s="6" t="str">
        <x:v>GlobalMaxHealth</x:v>
      </x:c>
      <x:c r="D114" s="6" t="str">
        <x:v>Rare</x:v>
      </x:c>
      <x:c r="E114" s="6" t="str">
        <x:v>Accumulated magnitude</x:v>
      </x:c>
      <x:c r="F114" s="15" t="n">
        <x:v>0.08</x:v>
      </x:c>
      <x:c r="G114" s="6" t="str">
        <x:v>fraction</x:v>
      </x:c>
      <x:c r="H114" s="6" t="n">
        <x:v>10</x:v>
      </x:c>
      <x:c r="I114" s="16" t="n">
        <x:f>F114*H114</x:f>
        <x:v>0.8</x:v>
      </x:c>
      <x:c r="J114" s="6" t="str">
        <x:v>Additive contribution across purchased ranks. Final multiplicative stats and conditional effects are shown in mechanics/interactions.</x:v>
      </x:c>
      <x:c r="K114" s="6" t="str">
        <x:v>Active</x:v>
      </x:c>
    </x:row>
    <x:row r="115" ht="38" customHeight="1">
      <x:c r="A115" s="6" t="str">
        <x:v>Shared</x:v>
      </x:c>
      <x:c r="B115" s="6" t="str">
        <x:v>Vitality</x:v>
      </x:c>
      <x:c r="C115" s="6" t="str">
        <x:v>GlobalMaxHealth</x:v>
      </x:c>
      <x:c r="D115" s="6" t="str">
        <x:v>Epic</x:v>
      </x:c>
      <x:c r="E115" s="6" t="str">
        <x:v>Accumulated magnitude</x:v>
      </x:c>
      <x:c r="F115" s="15" t="n">
        <x:v>0.12</x:v>
      </x:c>
      <x:c r="G115" s="6" t="str">
        <x:v>fraction</x:v>
      </x:c>
      <x:c r="H115" s="6" t="n">
        <x:v>10</x:v>
      </x:c>
      <x:c r="I115" s="16" t="n">
        <x:f>F115*H115</x:f>
        <x:v>1.2</x:v>
      </x:c>
      <x:c r="J115" s="6" t="str">
        <x:v>Additive contribution across purchased ranks. Final multiplicative stats and conditional effects are shown in mechanics/interactions.</x:v>
      </x:c>
      <x:c r="K115" s="6" t="str">
        <x:v>Active</x:v>
      </x:c>
    </x:row>
    <x:row r="116" ht="38" customHeight="1">
      <x:c r="A116" s="6" t="str">
        <x:v>Legacy Ninja</x:v>
      </x:c>
      <x:c r="B116" s="6" t="str">
        <x:v>Attack Damage</x:v>
      </x:c>
      <x:c r="C116" s="6" t="str">
        <x:v>NinjaDamage</x:v>
      </x:c>
      <x:c r="D116" s="6" t="str">
        <x:v>Common</x:v>
      </x:c>
      <x:c r="E116" s="6" t="str">
        <x:v>Accumulated magnitude</x:v>
      </x:c>
      <x:c r="F116" s="15" t="n">
        <x:v>0.2</x:v>
      </x:c>
      <x:c r="G116" s="6" t="str">
        <x:v>fraction</x:v>
      </x:c>
      <x:c r="H116" s="6" t="n">
        <x:v>5</x:v>
      </x:c>
      <x:c r="I116" s="16" t="n">
        <x:f>F116*H116</x:f>
        <x:v>1</x:v>
      </x:c>
      <x:c r="J116" s="6" t="str">
        <x:v>Retained saved asset, but all three normal Ninja stances suppress or replace it. Not offered in a normal selected-stance run.</x:v>
      </x:c>
      <x:c r="K116" s="6" t="str">
        <x:v>Unavailable in normal runs</x:v>
      </x:c>
    </x:row>
    <x:row r="117" ht="38" customHeight="1">
      <x:c r="A117" s="6" t="str">
        <x:v>Legacy Ninja</x:v>
      </x:c>
      <x:c r="B117" s="6" t="str">
        <x:v>Attack Damage</x:v>
      </x:c>
      <x:c r="C117" s="6" t="str">
        <x:v>NinjaDamage</x:v>
      </x:c>
      <x:c r="D117" s="6" t="str">
        <x:v>Rare</x:v>
      </x:c>
      <x:c r="E117" s="6" t="str">
        <x:v>Accumulated magnitude</x:v>
      </x:c>
      <x:c r="F117" s="15" t="n">
        <x:v>0.3</x:v>
      </x:c>
      <x:c r="G117" s="6" t="str">
        <x:v>fraction</x:v>
      </x:c>
      <x:c r="H117" s="6" t="n">
        <x:v>5</x:v>
      </x:c>
      <x:c r="I117" s="16" t="n">
        <x:f>F117*H117</x:f>
        <x:v>1.5</x:v>
      </x:c>
      <x:c r="J117" s="6" t="str">
        <x:v>Retained saved asset, but all three normal Ninja stances suppress or replace it. Not offered in a normal selected-stance run.</x:v>
      </x:c>
      <x:c r="K117" s="6" t="str">
        <x:v>Unavailable in normal runs</x:v>
      </x:c>
    </x:row>
    <x:row r="118" ht="38" customHeight="1">
      <x:c r="A118" s="6" t="str">
        <x:v>Legacy Ninja</x:v>
      </x:c>
      <x:c r="B118" s="6" t="str">
        <x:v>Attack Damage</x:v>
      </x:c>
      <x:c r="C118" s="6" t="str">
        <x:v>NinjaDamage</x:v>
      </x:c>
      <x:c r="D118" s="6" t="str">
        <x:v>Epic</x:v>
      </x:c>
      <x:c r="E118" s="6" t="str">
        <x:v>Accumulated magnitude</x:v>
      </x:c>
      <x:c r="F118" s="15" t="n">
        <x:v>0.4</x:v>
      </x:c>
      <x:c r="G118" s="6" t="str">
        <x:v>fraction</x:v>
      </x:c>
      <x:c r="H118" s="6" t="n">
        <x:v>5</x:v>
      </x:c>
      <x:c r="I118" s="16" t="n">
        <x:f>F118*H118</x:f>
        <x:v>2</x:v>
      </x:c>
      <x:c r="J118" s="6" t="str">
        <x:v>Retained saved asset, but all three normal Ninja stances suppress or replace it. Not offered in a normal selected-stance run.</x:v>
      </x:c>
      <x:c r="K118" s="6" t="str">
        <x:v>Unavailable in normal runs</x:v>
      </x:c>
    </x:row>
    <x:row r="119" ht="38" customHeight="1">
      <x:c r="A119" s="6" t="str">
        <x:v>Legacy Ninja</x:v>
      </x:c>
      <x:c r="B119" s="6" t="str">
        <x:v>Attack Speed</x:v>
      </x:c>
      <x:c r="C119" s="6" t="str">
        <x:v>NinjaSpeed</x:v>
      </x:c>
      <x:c r="D119" s="6" t="str">
        <x:v>Common</x:v>
      </x:c>
      <x:c r="E119" s="6" t="str">
        <x:v>Accumulated magnitude</x:v>
      </x:c>
      <x:c r="F119" s="15" t="n">
        <x:v>0.1</x:v>
      </x:c>
      <x:c r="G119" s="6" t="str">
        <x:v>fraction</x:v>
      </x:c>
      <x:c r="H119" s="6" t="n">
        <x:v>5</x:v>
      </x:c>
      <x:c r="I119" s="16" t="n">
        <x:f>F119*H119</x:f>
        <x:v>0.5</x:v>
      </x:c>
      <x:c r="J119" s="6" t="str">
        <x:v>Retained saved asset, but all three normal Ninja stances suppress or replace it. Not offered in a normal selected-stance run.</x:v>
      </x:c>
      <x:c r="K119" s="6" t="str">
        <x:v>Unavailable in normal runs</x:v>
      </x:c>
    </x:row>
    <x:row r="120" ht="38" customHeight="1">
      <x:c r="A120" s="6" t="str">
        <x:v>Legacy Ninja</x:v>
      </x:c>
      <x:c r="B120" s="6" t="str">
        <x:v>Attack Speed</x:v>
      </x:c>
      <x:c r="C120" s="6" t="str">
        <x:v>NinjaSpeed</x:v>
      </x:c>
      <x:c r="D120" s="6" t="str">
        <x:v>Rare</x:v>
      </x:c>
      <x:c r="E120" s="6" t="str">
        <x:v>Accumulated magnitude</x:v>
      </x:c>
      <x:c r="F120" s="15" t="n">
        <x:v>0.15</x:v>
      </x:c>
      <x:c r="G120" s="6" t="str">
        <x:v>fraction</x:v>
      </x:c>
      <x:c r="H120" s="6" t="n">
        <x:v>5</x:v>
      </x:c>
      <x:c r="I120" s="16" t="n">
        <x:f>F120*H120</x:f>
        <x:v>0.75</x:v>
      </x:c>
      <x:c r="J120" s="6" t="str">
        <x:v>Retained saved asset, but all three normal Ninja stances suppress or replace it. Not offered in a normal selected-stance run.</x:v>
      </x:c>
      <x:c r="K120" s="6" t="str">
        <x:v>Unavailable in normal runs</x:v>
      </x:c>
    </x:row>
    <x:row r="121" ht="38" customHeight="1">
      <x:c r="A121" s="6" t="str">
        <x:v>Legacy Ninja</x:v>
      </x:c>
      <x:c r="B121" s="6" t="str">
        <x:v>Attack Speed</x:v>
      </x:c>
      <x:c r="C121" s="6" t="str">
        <x:v>NinjaSpeed</x:v>
      </x:c>
      <x:c r="D121" s="6" t="str">
        <x:v>Epic</x:v>
      </x:c>
      <x:c r="E121" s="6" t="str">
        <x:v>Accumulated magnitude</x:v>
      </x:c>
      <x:c r="F121" s="15" t="n">
        <x:v>0.2</x:v>
      </x:c>
      <x:c r="G121" s="6" t="str">
        <x:v>fraction</x:v>
      </x:c>
      <x:c r="H121" s="6" t="n">
        <x:v>5</x:v>
      </x:c>
      <x:c r="I121" s="16" t="n">
        <x:f>F121*H121</x:f>
        <x:v>1</x:v>
      </x:c>
      <x:c r="J121" s="6" t="str">
        <x:v>Retained saved asset, but all three normal Ninja stances suppress or replace it. Not offered in a normal selected-stance run.</x:v>
      </x:c>
      <x:c r="K121" s="6" t="str">
        <x:v>Unavailable in normal runs</x:v>
      </x:c>
    </x:row>
    <x:row r="122" ht="38" customHeight="1">
      <x:c r="A122" s="6" t="str">
        <x:v>Legacy Ninja</x:v>
      </x:c>
      <x:c r="B122" s="6" t="str">
        <x:v>Barbed Blades</x:v>
      </x:c>
      <x:c r="C122" s="6" t="str">
        <x:v>FragmentLoad</x:v>
      </x:c>
      <x:c r="D122" s="6" t="str">
        <x:v>Fixed</x:v>
      </x:c>
      <x:c r="E122" s="6" t="str">
        <x:v>Additional embedded blades</x:v>
      </x:c>
      <x:c r="F122" s="13" t="n">
        <x:v>1</x:v>
      </x:c>
      <x:c r="G122" s="6" t="str">
        <x:v>count</x:v>
      </x:c>
      <x:c r="H122" s="6" t="n">
        <x:v>3</x:v>
      </x:c>
      <x:c r="I122" s="17" t="n">
        <x:f>F122*H122</x:f>
        <x:v>3</x:v>
      </x:c>
      <x:c r="J122" s="6" t="str">
        <x:v>Retained saved asset, but all three normal Ninja stances suppress or replace it. Not offered in a normal selected-stance run.</x:v>
      </x:c>
      <x:c r="K122" s="6" t="str">
        <x:v>Unavailable in normal runs</x:v>
      </x:c>
    </x:row>
    <x:row r="123" ht="38" customHeight="1">
      <x:c r="A123" s="6" t="str">
        <x:v>Legacy Ninja</x:v>
      </x:c>
      <x:c r="B123" s="6" t="str">
        <x:v>Coverage</x:v>
      </x:c>
      <x:c r="C123" s="6" t="str">
        <x:v>NinjaCoverage</x:v>
      </x:c>
      <x:c r="D123" s="6" t="str">
        <x:v>Common</x:v>
      </x:c>
      <x:c r="E123" s="6" t="str">
        <x:v>Accumulated magnitude</x:v>
      </x:c>
      <x:c r="F123" s="15" t="n">
        <x:v>0.15</x:v>
      </x:c>
      <x:c r="G123" s="6" t="str">
        <x:v>fraction</x:v>
      </x:c>
      <x:c r="H123" s="6" t="n">
        <x:v>5</x:v>
      </x:c>
      <x:c r="I123" s="16" t="n">
        <x:f>F123*H123</x:f>
        <x:v>0.75</x:v>
      </x:c>
      <x:c r="J123" s="6" t="str">
        <x:v>Retained saved asset, but all three normal Ninja stances suppress or replace it. Not offered in a normal selected-stance run.</x:v>
      </x:c>
      <x:c r="K123" s="6" t="str">
        <x:v>Unavailable in normal runs</x:v>
      </x:c>
    </x:row>
    <x:row r="124" ht="38" customHeight="1">
      <x:c r="A124" s="6" t="str">
        <x:v>Legacy Ninja</x:v>
      </x:c>
      <x:c r="B124" s="6" t="str">
        <x:v>Coverage</x:v>
      </x:c>
      <x:c r="C124" s="6" t="str">
        <x:v>NinjaCoverage</x:v>
      </x:c>
      <x:c r="D124" s="6" t="str">
        <x:v>Rare</x:v>
      </x:c>
      <x:c r="E124" s="6" t="str">
        <x:v>Accumulated magnitude</x:v>
      </x:c>
      <x:c r="F124" s="15" t="n">
        <x:v>0.225</x:v>
      </x:c>
      <x:c r="G124" s="6" t="str">
        <x:v>fraction</x:v>
      </x:c>
      <x:c r="H124" s="6" t="n">
        <x:v>5</x:v>
      </x:c>
      <x:c r="I124" s="16" t="n">
        <x:f>F124*H124</x:f>
        <x:v>1.125</x:v>
      </x:c>
      <x:c r="J124" s="6" t="str">
        <x:v>Retained saved asset, but all three normal Ninja stances suppress or replace it. Not offered in a normal selected-stance run.</x:v>
      </x:c>
      <x:c r="K124" s="6" t="str">
        <x:v>Unavailable in normal runs</x:v>
      </x:c>
    </x:row>
    <x:row r="125" ht="38" customHeight="1">
      <x:c r="A125" s="6" t="str">
        <x:v>Legacy Ninja</x:v>
      </x:c>
      <x:c r="B125" s="6" t="str">
        <x:v>Coverage</x:v>
      </x:c>
      <x:c r="C125" s="6" t="str">
        <x:v>NinjaCoverage</x:v>
      </x:c>
      <x:c r="D125" s="6" t="str">
        <x:v>Epic</x:v>
      </x:c>
      <x:c r="E125" s="6" t="str">
        <x:v>Accumulated magnitude</x:v>
      </x:c>
      <x:c r="F125" s="15" t="n">
        <x:v>0.3</x:v>
      </x:c>
      <x:c r="G125" s="6" t="str">
        <x:v>fraction</x:v>
      </x:c>
      <x:c r="H125" s="6" t="n">
        <x:v>5</x:v>
      </x:c>
      <x:c r="I125" s="16" t="n">
        <x:f>F125*H125</x:f>
        <x:v>1.5</x:v>
      </x:c>
      <x:c r="J125" s="6" t="str">
        <x:v>Retained saved asset, but all three normal Ninja stances suppress or replace it. Not offered in a normal selected-stance run.</x:v>
      </x:c>
      <x:c r="K125" s="6" t="str">
        <x:v>Unavailable in normal runs</x:v>
      </x:c>
    </x:row>
    <x:row r="126" ht="38" customHeight="1">
      <x:c r="A126" s="6" t="str">
        <x:v>Legacy Ninja</x:v>
      </x:c>
      <x:c r="B126" s="6" t="str">
        <x:v>Multiple Strikes</x:v>
      </x:c>
      <x:c r="C126" s="6" t="str">
        <x:v>MultipleStrikes</x:v>
      </x:c>
      <x:c r="D126" s="6" t="str">
        <x:v>Common</x:v>
      </x:c>
      <x:c r="E126" s="6" t="str">
        <x:v>Accumulated magnitude</x:v>
      </x:c>
      <x:c r="F126" s="13" t="n">
        <x:v>1</x:v>
      </x:c>
      <x:c r="G126" s="6" t="str">
        <x:v>count</x:v>
      </x:c>
      <x:c r="H126" s="6" t="n">
        <x:v>3</x:v>
      </x:c>
      <x:c r="I126" s="17" t="n">
        <x:f>F126*H126</x:f>
        <x:v>3</x:v>
      </x:c>
      <x:c r="J126" s="6" t="str">
        <x:v>Retained saved asset, but all three normal Ninja stances suppress or replace it. Not offered in a normal selected-stance run.</x:v>
      </x:c>
      <x:c r="K126" s="6" t="str">
        <x:v>Unavailable in normal runs</x:v>
      </x:c>
    </x:row>
    <x:row r="127" ht="38" customHeight="1">
      <x:c r="A127" s="6" t="str">
        <x:v>Legacy Ninja</x:v>
      </x:c>
      <x:c r="B127" s="6" t="str">
        <x:v>Multiple Strikes</x:v>
      </x:c>
      <x:c r="C127" s="6" t="str">
        <x:v>MultipleStrikes</x:v>
      </x:c>
      <x:c r="D127" s="6" t="str">
        <x:v>Rare</x:v>
      </x:c>
      <x:c r="E127" s="6" t="str">
        <x:v>Accumulated magnitude</x:v>
      </x:c>
      <x:c r="F127" s="13" t="n">
        <x:v>2</x:v>
      </x:c>
      <x:c r="G127" s="6" t="str">
        <x:v>count</x:v>
      </x:c>
      <x:c r="H127" s="6" t="n">
        <x:v>3</x:v>
      </x:c>
      <x:c r="I127" s="17" t="n">
        <x:f>F127*H127</x:f>
        <x:v>6</x:v>
      </x:c>
      <x:c r="J127" s="6" t="str">
        <x:v>Retained saved asset, but all three normal Ninja stances suppress or replace it. Not offered in a normal selected-stance run.</x:v>
      </x:c>
      <x:c r="K127" s="6" t="str">
        <x:v>Unavailable in normal runs</x:v>
      </x:c>
    </x:row>
    <x:row r="128" ht="38" customHeight="1">
      <x:c r="A128" s="6" t="str">
        <x:v>Legacy Ninja</x:v>
      </x:c>
      <x:c r="B128" s="6" t="str">
        <x:v>Multiple Strikes</x:v>
      </x:c>
      <x:c r="C128" s="6" t="str">
        <x:v>MultipleStrikes</x:v>
      </x:c>
      <x:c r="D128" s="6" t="str">
        <x:v>Epic</x:v>
      </x:c>
      <x:c r="E128" s="6" t="str">
        <x:v>Accumulated magnitude</x:v>
      </x:c>
      <x:c r="F128" s="13" t="n">
        <x:v>3</x:v>
      </x:c>
      <x:c r="G128" s="6" t="str">
        <x:v>count</x:v>
      </x:c>
      <x:c r="H128" s="6" t="n">
        <x:v>3</x:v>
      </x:c>
      <x:c r="I128" s="17" t="n">
        <x:f>F128*H128</x:f>
        <x:v>9</x:v>
      </x:c>
      <x:c r="J128" s="6" t="str">
        <x:v>Retained saved asset, but all three normal Ninja stances suppress or replace it. Not offered in a normal selected-stance run.</x:v>
      </x:c>
      <x:c r="K128" s="6" t="str">
        <x:v>Unavailable in normal runs</x:v>
      </x:c>
    </x:row>
    <x:row r="129" ht="38" customHeight="1">
      <x:c r="A129" s="6" t="str">
        <x:v>Legacy Ninja</x:v>
      </x:c>
      <x:c r="B129" s="6" t="str">
        <x:v>Scattering Blades</x:v>
      </x:c>
      <x:c r="C129" s="6" t="str">
        <x:v>FragmentReach</x:v>
      </x:c>
      <x:c r="D129" s="6" t="str">
        <x:v>Common</x:v>
      </x:c>
      <x:c r="E129" s="6" t="str">
        <x:v>Accumulated magnitude</x:v>
      </x:c>
      <x:c r="F129" s="15" t="n">
        <x:v>0.15</x:v>
      </x:c>
      <x:c r="G129" s="6" t="str">
        <x:v>fraction</x:v>
      </x:c>
      <x:c r="H129" s="6" t="n">
        <x:v>5</x:v>
      </x:c>
      <x:c r="I129" s="16" t="n">
        <x:f>F129*H129</x:f>
        <x:v>0.75</x:v>
      </x:c>
      <x:c r="J129" s="6" t="str">
        <x:v>Retained saved asset, but all three normal Ninja stances suppress or replace it. Not offered in a normal selected-stance run.</x:v>
      </x:c>
      <x:c r="K129" s="6" t="str">
        <x:v>Unavailable in normal runs</x:v>
      </x:c>
    </x:row>
    <x:row r="130" ht="38" customHeight="1">
      <x:c r="A130" s="6" t="str">
        <x:v>Legacy Ninja</x:v>
      </x:c>
      <x:c r="B130" s="6" t="str">
        <x:v>Scattering Blades</x:v>
      </x:c>
      <x:c r="C130" s="6" t="str">
        <x:v>FragmentReach</x:v>
      </x:c>
      <x:c r="D130" s="6" t="str">
        <x:v>Rare</x:v>
      </x:c>
      <x:c r="E130" s="6" t="str">
        <x:v>Accumulated magnitude</x:v>
      </x:c>
      <x:c r="F130" s="15" t="n">
        <x:v>0.22</x:v>
      </x:c>
      <x:c r="G130" s="6" t="str">
        <x:v>fraction</x:v>
      </x:c>
      <x:c r="H130" s="6" t="n">
        <x:v>5</x:v>
      </x:c>
      <x:c r="I130" s="16" t="n">
        <x:f>F130*H130</x:f>
        <x:v>1.1</x:v>
      </x:c>
      <x:c r="J130" s="6" t="str">
        <x:v>Retained saved asset, but all three normal Ninja stances suppress or replace it. Not offered in a normal selected-stance run.</x:v>
      </x:c>
      <x:c r="K130" s="6" t="str">
        <x:v>Unavailable in normal runs</x:v>
      </x:c>
    </x:row>
    <x:row r="131" ht="38" customHeight="1">
      <x:c r="A131" s="6" t="str">
        <x:v>Legacy Ninja</x:v>
      </x:c>
      <x:c r="B131" s="6" t="str">
        <x:v>Scattering Blades</x:v>
      </x:c>
      <x:c r="C131" s="6" t="str">
        <x:v>FragmentReach</x:v>
      </x:c>
      <x:c r="D131" s="6" t="str">
        <x:v>Epic</x:v>
      </x:c>
      <x:c r="E131" s="6" t="str">
        <x:v>Accumulated magnitude</x:v>
      </x:c>
      <x:c r="F131" s="15" t="n">
        <x:v>0.3</x:v>
      </x:c>
      <x:c r="G131" s="6" t="str">
        <x:v>fraction</x:v>
      </x:c>
      <x:c r="H131" s="6" t="n">
        <x:v>5</x:v>
      </x:c>
      <x:c r="I131" s="16" t="n">
        <x:f>F131*H131</x:f>
        <x:v>1.5</x:v>
      </x:c>
      <x:c r="J131" s="6" t="str">
        <x:v>Retained saved asset, but all three normal Ninja stances suppress or replace it. Not offered in a normal selected-stance run.</x:v>
      </x:c>
      <x:c r="K131" s="6" t="str">
        <x:v>Unavailable in normal runs</x:v>
      </x:c>
    </x:row>
    <x:row r="132" ht="38" customHeight="1">
      <x:c r="A132" s="6" t="str">
        <x:v>Legacy Ninja</x:v>
      </x:c>
      <x:c r="B132" s="6" t="str">
        <x:v>Sharper Fragments</x:v>
      </x:c>
      <x:c r="C132" s="6" t="str">
        <x:v>FragmentDamage</x:v>
      </x:c>
      <x:c r="D132" s="6" t="str">
        <x:v>Common</x:v>
      </x:c>
      <x:c r="E132" s="6" t="str">
        <x:v>Accumulated magnitude</x:v>
      </x:c>
      <x:c r="F132" s="15" t="n">
        <x:v>0.2</x:v>
      </x:c>
      <x:c r="G132" s="6" t="str">
        <x:v>fraction</x:v>
      </x:c>
      <x:c r="H132" s="6" t="n">
        <x:v>5</x:v>
      </x:c>
      <x:c r="I132" s="16" t="n">
        <x:f>F132*H132</x:f>
        <x:v>1</x:v>
      </x:c>
      <x:c r="J132" s="6" t="str">
        <x:v>Retained saved asset, but all three normal Ninja stances suppress or replace it. Not offered in a normal selected-stance run.</x:v>
      </x:c>
      <x:c r="K132" s="6" t="str">
        <x:v>Unavailable in normal runs</x:v>
      </x:c>
    </x:row>
    <x:row r="133" ht="38" customHeight="1">
      <x:c r="A133" s="6" t="str">
        <x:v>Legacy Ninja</x:v>
      </x:c>
      <x:c r="B133" s="6" t="str">
        <x:v>Sharper Fragments</x:v>
      </x:c>
      <x:c r="C133" s="6" t="str">
        <x:v>FragmentDamage</x:v>
      </x:c>
      <x:c r="D133" s="6" t="str">
        <x:v>Rare</x:v>
      </x:c>
      <x:c r="E133" s="6" t="str">
        <x:v>Accumulated magnitude</x:v>
      </x:c>
      <x:c r="F133" s="15" t="n">
        <x:v>0.3</x:v>
      </x:c>
      <x:c r="G133" s="6" t="str">
        <x:v>fraction</x:v>
      </x:c>
      <x:c r="H133" s="6" t="n">
        <x:v>5</x:v>
      </x:c>
      <x:c r="I133" s="16" t="n">
        <x:f>F133*H133</x:f>
        <x:v>1.5</x:v>
      </x:c>
      <x:c r="J133" s="6" t="str">
        <x:v>Retained saved asset, but all three normal Ninja stances suppress or replace it. Not offered in a normal selected-stance run.</x:v>
      </x:c>
      <x:c r="K133" s="6" t="str">
        <x:v>Unavailable in normal runs</x:v>
      </x:c>
    </x:row>
    <x:row r="134" ht="38" customHeight="1">
      <x:c r="A134" s="6" t="str">
        <x:v>Legacy Ninja</x:v>
      </x:c>
      <x:c r="B134" s="6" t="str">
        <x:v>Sharper Fragments</x:v>
      </x:c>
      <x:c r="C134" s="6" t="str">
        <x:v>FragmentDamage</x:v>
      </x:c>
      <x:c r="D134" s="6" t="str">
        <x:v>Epic</x:v>
      </x:c>
      <x:c r="E134" s="6" t="str">
        <x:v>Accumulated magnitude</x:v>
      </x:c>
      <x:c r="F134" s="15" t="n">
        <x:v>0.4</x:v>
      </x:c>
      <x:c r="G134" s="6" t="str">
        <x:v>fraction</x:v>
      </x:c>
      <x:c r="H134" s="6" t="n">
        <x:v>5</x:v>
      </x:c>
      <x:c r="I134" s="16" t="n">
        <x:f>F134*H134</x:f>
        <x:v>2</x:v>
      </x:c>
      <x:c r="J134" s="6" t="str">
        <x:v>Retained saved asset, but all three normal Ninja stances suppress or replace it. Not offered in a normal selected-stance run.</x:v>
      </x:c>
      <x:c r="K134" s="6" t="str">
        <x:v>Unavailable in normal runs</x:v>
      </x:c>
    </x:row>
  </x:sheetData>
  <x:mergeCells>
    <x:mergeCell ref="A2:H2"/>
    <x:mergeCell ref="A3:H3"/>
  </x:mergeCells>
  <x:conditionalFormatting sqref="K6:K134">
    <x:cfRule type="containsText" dxfId="1" priority="1" operator="containsText" text="Unavailable"/>
  </x:conditionalFormatting>
  <x:pageMargins left="0.7" right="0.7" top="0.75" bottom="0.75" header="0.3" footer="0.3"/>
  <x:tableParts count="1">
    <x:tablePart xmlns:r="http://schemas.openxmlformats.org/officeDocument/2006/relationships" r:id="Rad98d1c833ba43a8"/>
  </x:tableParts>
</x:worksheet>
</file>

<file path=xl/worksheets/sheet5.xml><?xml version="1.0" encoding="utf-8"?>
<x:worksheet xmlns:x="http://schemas.openxmlformats.org/spreadsheetml/2006/main">
  <x:sheetPr>
    <x:tabColor rgb="FF176B7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.25" hidden="0" customWidth="1"/>
    <x:col min="2" max="2" width="25.6299991607666" hidden="0" customWidth="1"/>
    <x:col min="3" max="3" width="40" hidden="0" customWidth="1"/>
    <x:col min="4" max="4" width="13.75" hidden="0" customWidth="1"/>
    <x:col min="5" max="5" width="16.25" hidden="0" customWidth="1"/>
    <x:col min="6" max="6" width="41.25" hidden="0" customWidth="1"/>
    <x:col min="7" max="7" width="65" hidden="0" customWidth="1"/>
    <x:col min="8" max="8" width="55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</x:row>
    <x:row r="2" ht="29" customHeight="1">
      <x:c r="A2" s="3" t="str">
        <x:v>Saved tuning values</x:v>
      </x:c>
      <x:c r="B2" s="2"/>
      <x:c r="C2" s="2"/>
      <x:c r="D2" s="2"/>
      <x:c r="E2" s="2"/>
      <x:c r="F2" s="2"/>
      <x:c r="G2" s="2"/>
      <x:c r="H2" s="2"/>
    </x:row>
    <x:row r="3" ht="34" customHeight="1">
      <x:c r="A3" s="5" t="str">
        <x:v>Numeric snapshot from Unreal assets and Blueprint defaults. Card-specific PerRank units are explained in Rank Scaling. Saved values take precedence over C++ fallback constants.</x:v>
      </x:c>
      <x:c r="B3" s="6"/>
      <x:c r="C3" s="6"/>
      <x:c r="D3" s="6"/>
      <x:c r="E3" s="6"/>
      <x:c r="F3" s="2"/>
      <x:c r="G3" s="2"/>
      <x:c r="H3" s="2"/>
    </x:row>
    <x:row r="4" ht="8" customHeight="1">
      <x:c r="A4" s="7"/>
      <x:c r="B4" s="7"/>
      <x:c r="C4" s="7"/>
      <x:c r="D4" s="7"/>
      <x:c r="E4" s="7"/>
      <x:c r="F4" s="7"/>
      <x:c r="G4" s="7"/>
      <x:c r="H4" s="7"/>
    </x:row>
    <x:row r="5" ht="34" customHeight="1">
      <x:c r="A5" s="12" t="str">
        <x:v>Stance / owner</x:v>
      </x:c>
      <x:c r="B5" s="12" t="str">
        <x:v>Stable ID / Blueprint</x:v>
      </x:c>
      <x:c r="C5" s="12" t="str">
        <x:v>Parameter or modifier</x:v>
      </x:c>
      <x:c r="D5" s="12" t="str">
        <x:v>Saved value</x:v>
      </x:c>
      <x:c r="E5" s="12" t="str">
        <x:v>Unit</x:v>
      </x:c>
      <x:c r="F5" s="12" t="str">
        <x:v>Runtime use</x:v>
      </x:c>
      <x:c r="G5" s="12" t="str">
        <x:v>Saved asset</x:v>
      </x:c>
      <x:c r="H5" s="12" t="str">
        <x:v>Implementation source</x:v>
      </x:c>
    </x:row>
    <x:row r="6" ht="51" customHeight="1">
      <x:c r="A6" s="6" t="str">
        <x:v>Blood</x:v>
      </x:c>
      <x:c r="B6" s="6" t="str">
        <x:v>BattleStance</x:v>
      </x:c>
      <x:c r="C6" s="6" t="str">
        <x:v>BleedDuration</x:v>
      </x:c>
      <x:c r="D6" s="13" t="n">
        <x:v>3</x:v>
      </x:c>
      <x:c r="E6" s="6" t="str">
        <x:v>s</x:v>
      </x:c>
      <x:c r="F6" s="6" t="str">
        <x:v>Saved asset value; overrides fallback</x:v>
      </x:c>
      <x:c r="G6" s="6" t="str">
        <x:v>/Game/HeavensDivide/Upgrades/Samurai/DA_Upgrade_SamuraiBattleStance</x:v>
      </x:c>
      <x:c r="H6" s="6" t="str">
        <x:v>Source/HeavensDivide/PlayerUpgradeStats.cpp:126
Source/HeavensDivide/SamuraiAutoAttack.cpp:45
Source/HeavensDivide/SamuraiBuildUpgrades.cpp:30</x:v>
      </x:c>
    </x:row>
    <x:row r="7" ht="51" customHeight="1">
      <x:c r="A7" s="6" t="str">
        <x:v>Blood</x:v>
      </x:c>
      <x:c r="B7" s="6" t="str">
        <x:v>BattleStance</x:v>
      </x:c>
      <x:c r="C7" s="6" t="str">
        <x:v>BleedHitFraction</x:v>
      </x:c>
      <x:c r="D7" s="19" t="n">
        <x:v>0.125</x:v>
      </x:c>
      <x:c r="E7" s="6" t="str">
        <x:v>ratio / multiplier</x:v>
      </x:c>
      <x:c r="F7" s="6" t="str">
        <x:v>Saved asset value; overrides fallback</x:v>
      </x:c>
      <x:c r="G7" s="6" t="str">
        <x:v>/Game/HeavensDivide/Upgrades/Samurai/DA_Upgrade_SamuraiBattleStance</x:v>
      </x:c>
      <x:c r="H7" s="6" t="str">
        <x:v>Source/HeavensDivide/PlayerUpgradeStats.cpp:126
Source/HeavensDivide/SamuraiAutoAttack.cpp:45
Source/HeavensDivide/SamuraiBuildUpgrades.cpp:30</x:v>
      </x:c>
    </x:row>
    <x:row r="8" ht="51" customHeight="1">
      <x:c r="A8" s="6" t="str">
        <x:v>Blood</x:v>
      </x:c>
      <x:c r="B8" s="6" t="str">
        <x:v>BattleStance</x:v>
      </x:c>
      <x:c r="C8" s="6" t="str">
        <x:v>BleedStackCap</x:v>
      </x:c>
      <x:c r="D8" s="13" t="n">
        <x:v>5</x:v>
      </x:c>
      <x:c r="E8" s="6" t="str">
        <x:v>count / cadence</x:v>
      </x:c>
      <x:c r="F8" s="6" t="str">
        <x:v>Saved asset value; overrides fallback</x:v>
      </x:c>
      <x:c r="G8" s="6" t="str">
        <x:v>/Game/HeavensDivide/Upgrades/Samurai/DA_Upgrade_SamuraiBattleStance</x:v>
      </x:c>
      <x:c r="H8" s="6" t="str">
        <x:v>Source/HeavensDivide/PlayerUpgradeStats.cpp:126
Source/HeavensDivide/SamuraiAutoAttack.cpp:45
Source/HeavensDivide/SamuraiBuildUpgrades.cpp:30</x:v>
      </x:c>
    </x:row>
    <x:row r="9" ht="51" customHeight="1">
      <x:c r="A9" s="6" t="str">
        <x:v>Blood</x:v>
      </x:c>
      <x:c r="B9" s="6" t="str">
        <x:v>BattleStance</x:v>
      </x:c>
      <x:c r="C9" s="6" t="str">
        <x:v>BleedStacksPerHit</x:v>
      </x:c>
      <x:c r="D9" s="13" t="n">
        <x:v>1</x:v>
      </x:c>
      <x:c r="E9" s="6" t="str">
        <x:v>count / cadence</x:v>
      </x:c>
      <x:c r="F9" s="6" t="str">
        <x:v>Saved asset value; overrides fallback</x:v>
      </x:c>
      <x:c r="G9" s="6" t="str">
        <x:v>/Game/HeavensDivide/Upgrades/Samurai/DA_Upgrade_SamuraiBattleStance</x:v>
      </x:c>
      <x:c r="H9" s="6" t="str">
        <x:v>Source/HeavensDivide/PlayerUpgradeStats.cpp:126
Source/HeavensDivide/SamuraiAutoAttack.cpp:45
Source/HeavensDivide/SamuraiBuildUpgrades.cpp:30</x:v>
      </x:c>
    </x:row>
    <x:row r="10" ht="51" customHeight="1">
      <x:c r="A10" s="6" t="str">
        <x:v>Blood</x:v>
      </x:c>
      <x:c r="B10" s="6" t="str">
        <x:v>BattleStance</x:v>
      </x:c>
      <x:c r="C10" s="6" t="str">
        <x:v>BleedTickInterval</x:v>
      </x:c>
      <x:c r="D10" s="20" t="n">
        <x:v>0.5</x:v>
      </x:c>
      <x:c r="E10" s="6" t="str">
        <x:v>s</x:v>
      </x:c>
      <x:c r="F10" s="6" t="str">
        <x:v>Saved asset value; overrides fallback</x:v>
      </x:c>
      <x:c r="G10" s="6" t="str">
        <x:v>/Game/HeavensDivide/Upgrades/Samurai/DA_Upgrade_SamuraiBattleStance</x:v>
      </x:c>
      <x:c r="H10" s="6" t="str">
        <x:v>Source/HeavensDivide/PlayerUpgradeStats.cpp:126
Source/HeavensDivide/SamuraiAutoAttack.cpp:45
Source/HeavensDivide/SamuraiBuildUpgrades.cpp:30</x:v>
      </x:c>
    </x:row>
    <x:row r="11" ht="30" customHeight="1">
      <x:c r="A11" s="6" t="str">
        <x:v>Blood</x:v>
      </x:c>
      <x:c r="B11" s="6" t="str">
        <x:v>BattleStance</x:v>
      </x:c>
      <x:c r="C11" s="6" t="str">
        <x:v>Stat[0] Samurai Attack Area Multiplier</x:v>
      </x:c>
      <x:c r="D11" s="14" t="n">
        <x:v>1.35</x:v>
      </x:c>
      <x:c r="E11" s="6" t="str">
        <x:v>stat value</x:v>
      </x:c>
      <x:c r="F11" s="6" t="str">
        <x:v>Multiply</x:v>
      </x:c>
      <x:c r="G11" s="6" t="str">
        <x:v>/Game/HeavensDivide/Upgrades/Samurai/DA_Upgrade_SamuraiBattleStance</x:v>
      </x:c>
      <x:c r="H11" s="6" t="str">
        <x:v>Source/HeavensDivide/PlayerUpgradeStats.cpp:154</x:v>
      </x:c>
    </x:row>
    <x:row r="12" ht="30" customHeight="1">
      <x:c r="A12" s="6" t="str">
        <x:v>Blood</x:v>
      </x:c>
      <x:c r="B12" s="6" t="str">
        <x:v>BattleStance</x:v>
      </x:c>
      <x:c r="C12" s="6" t="str">
        <x:v>Stat[1] Samurai Attack Speed Multiplier</x:v>
      </x:c>
      <x:c r="D12" s="20" t="n">
        <x:v>1.3</x:v>
      </x:c>
      <x:c r="E12" s="6" t="str">
        <x:v>stat value</x:v>
      </x:c>
      <x:c r="F12" s="6" t="str">
        <x:v>Multiply</x:v>
      </x:c>
      <x:c r="G12" s="6" t="str">
        <x:v>/Game/HeavensDivide/Upgrades/Samurai/DA_Upgrade_SamuraiBattleStance</x:v>
      </x:c>
      <x:c r="H12" s="6" t="str">
        <x:v>Source/HeavensDivide/PlayerUpgradeStats.cpp:154</x:v>
      </x:c>
    </x:row>
    <x:row r="13" ht="38" customHeight="1">
      <x:c r="A13" s="6" t="str">
        <x:v>Blood</x:v>
      </x:c>
      <x:c r="B13" s="6" t="str">
        <x:v>BloodAssist</x:v>
      </x:c>
      <x:c r="C13" s="6" t="str">
        <x:v>Chance</x:v>
      </x:c>
      <x:c r="D13" s="14" t="n">
        <x:v>0.05</x:v>
      </x:c>
      <x:c r="E13" s="6" t="str">
        <x:v>ratio / multiplier</x:v>
      </x:c>
      <x:c r="F13" s="6" t="str">
        <x:v>Saved asset value; overrides fallback</x:v>
      </x:c>
      <x:c r="G13" s="6" t="str">
        <x:v>/Game/HeavensDivide/Upgrades/Samurai/DA_Upgrade_SamuraiBloodAssist</x:v>
      </x:c>
      <x:c r="H13" s="6" t="str">
        <x:v>Source/HeavensDivide/SamuraiAutoAttack.cpp:877</x:v>
      </x:c>
    </x:row>
    <x:row r="14" ht="30" customHeight="1">
      <x:c r="A14" s="6" t="str">
        <x:v>Blood</x:v>
      </x:c>
      <x:c r="B14" s="6" t="str">
        <x:v>BloodAssistChance</x:v>
      </x:c>
      <x:c r="C14" s="6" t="str">
        <x:v>PerRank</x:v>
      </x:c>
      <x:c r="D14" s="14" t="n">
        <x:v>0.05</x:v>
      </x:c>
      <x:c r="E14" s="6" t="str">
        <x:v>card-specific</x:v>
      </x:c>
      <x:c r="F14" s="6" t="str">
        <x:v>Saved asset value; overrides fallback</x:v>
      </x:c>
      <x:c r="G14" s="6" t="str">
        <x:v>/Game/HeavensDivide/Upgrades/Samurai/DA_Upgrade_SamuraiBloodAssistChance</x:v>
      </x:c>
      <x:c r="H14" s="6" t="str">
        <x:v>Source/HeavensDivide/SamuraiAutoAttack.cpp:878</x:v>
      </x:c>
    </x:row>
    <x:row r="15" ht="30" customHeight="1">
      <x:c r="A15" s="6" t="str">
        <x:v>Blood</x:v>
      </x:c>
      <x:c r="B15" s="6" t="str">
        <x:v>BloodCapacity</x:v>
      </x:c>
      <x:c r="C15" s="6" t="str">
        <x:v>PerRank</x:v>
      </x:c>
      <x:c r="D15" s="13" t="n">
        <x:v>1</x:v>
      </x:c>
      <x:c r="E15" s="6" t="str">
        <x:v>card-specific</x:v>
      </x:c>
      <x:c r="F15" s="6" t="str">
        <x:v>Saved asset value; overrides fallback</x:v>
      </x:c>
      <x:c r="G15" s="6" t="str">
        <x:v>/Game/HeavensDivide/Upgrades/Samurai/DA_Upgrade_SamuraiBloodCapacity</x:v>
      </x:c>
      <x:c r="H15" s="6" t="str">
        <x:v>Source/HeavensDivide/PlayerUpgradeComponent.cpp:46</x:v>
      </x:c>
    </x:row>
    <x:row r="16" ht="38" customHeight="1">
      <x:c r="A16" s="6" t="str">
        <x:v>Blood</x:v>
      </x:c>
      <x:c r="B16" s="6" t="str">
        <x:v>BloodCritical</x:v>
      </x:c>
      <x:c r="C16" s="6" t="str">
        <x:v>Chance</x:v>
      </x:c>
      <x:c r="D16" s="14" t="n">
        <x:v>0.15</x:v>
      </x:c>
      <x:c r="E16" s="6" t="str">
        <x:v>ratio / multiplier</x:v>
      </x:c>
      <x:c r="F16" s="6" t="str">
        <x:v>Saved asset value; overrides fallback</x:v>
      </x:c>
      <x:c r="G16" s="6" t="str">
        <x:v>/Game/HeavensDivide/Upgrades/Samurai/DA_Upgrade_SamuraiBloodCritical</x:v>
      </x:c>
      <x:c r="H16" s="6" t="str">
        <x:v>Source/HeavensDivide/SamuraiAutoAttack.cpp:337</x:v>
      </x:c>
    </x:row>
    <x:row r="17" ht="38" customHeight="1">
      <x:c r="A17" s="6" t="str">
        <x:v>Blood</x:v>
      </x:c>
      <x:c r="B17" s="6" t="str">
        <x:v>BloodCritical</x:v>
      </x:c>
      <x:c r="C17" s="6" t="str">
        <x:v>DamageMultiplier</x:v>
      </x:c>
      <x:c r="D17" s="13" t="n">
        <x:v>2</x:v>
      </x:c>
      <x:c r="E17" s="6" t="str">
        <x:v>ratio / multiplier</x:v>
      </x:c>
      <x:c r="F17" s="6" t="str">
        <x:v>Saved asset value; overrides fallback</x:v>
      </x:c>
      <x:c r="G17" s="6" t="str">
        <x:v>/Game/HeavensDivide/Upgrades/Samurai/DA_Upgrade_SamuraiBloodCritical</x:v>
      </x:c>
      <x:c r="H17" s="6" t="str">
        <x:v>Source/HeavensDivide/SamuraiAutoAttack.cpp:337</x:v>
      </x:c>
    </x:row>
    <x:row r="18" ht="30" customHeight="1">
      <x:c r="A18" s="6" t="str">
        <x:v>Blood</x:v>
      </x:c>
      <x:c r="B18" s="6" t="str">
        <x:v>BloodCriticalChance</x:v>
      </x:c>
      <x:c r="C18" s="6" t="str">
        <x:v>PerRank</x:v>
      </x:c>
      <x:c r="D18" s="20" t="n">
        <x:v>0.1</x:v>
      </x:c>
      <x:c r="E18" s="6" t="str">
        <x:v>card-specific</x:v>
      </x:c>
      <x:c r="F18" s="6" t="str">
        <x:v>Saved asset value; overrides fallback</x:v>
      </x:c>
      <x:c r="G18" s="6" t="str">
        <x:v>/Game/HeavensDivide/Upgrades/Samurai/DA_Upgrade_SamuraiBloodCriticalChance</x:v>
      </x:c>
      <x:c r="H18" s="6" t="str">
        <x:v>Source/HeavensDivide/SamuraiAutoAttack.cpp:338</x:v>
      </x:c>
    </x:row>
    <x:row r="19" ht="38" customHeight="1">
      <x:c r="A19" s="6" t="str">
        <x:v>Blood</x:v>
      </x:c>
      <x:c r="B19" s="6" t="str">
        <x:v>BloodDetonation</x:v>
      </x:c>
      <x:c r="C19" s="6" t="str">
        <x:v>DamageMultiplier</x:v>
      </x:c>
      <x:c r="D19" s="20" t="n">
        <x:v>1.5</x:v>
      </x:c>
      <x:c r="E19" s="6" t="str">
        <x:v>ratio / multiplier</x:v>
      </x:c>
      <x:c r="F19" s="6" t="str">
        <x:v>Saved asset value; overrides fallback</x:v>
      </x:c>
      <x:c r="G19" s="6" t="str">
        <x:v>/Game/HeavensDivide/Upgrades/Samurai/DA_Upgrade_SamuraiBloodDetonation</x:v>
      </x:c>
      <x:c r="H19" s="6" t="str">
        <x:v>Source/HeavensDivide/SamuraiBuildUpgrades.cpp:106</x:v>
      </x:c>
    </x:row>
    <x:row r="20" ht="30" customHeight="1">
      <x:c r="A20" s="6" t="str">
        <x:v>Blood</x:v>
      </x:c>
      <x:c r="B20" s="6" t="str">
        <x:v>BloodDetonation</x:v>
      </x:c>
      <x:c r="C20" s="6" t="str">
        <x:v>Radius</x:v>
      </x:c>
      <x:c r="D20" s="13" t="n">
        <x:v>300</x:v>
      </x:c>
      <x:c r="E20" s="6" t="str">
        <x:v>cm</x:v>
      </x:c>
      <x:c r="F20" s="6" t="str">
        <x:v>Saved asset value; overrides fallback</x:v>
      </x:c>
      <x:c r="G20" s="6" t="str">
        <x:v>/Game/HeavensDivide/Upgrades/Samurai/DA_Upgrade_SamuraiBloodDetonation</x:v>
      </x:c>
      <x:c r="H20" s="6" t="str">
        <x:v>Source/HeavensDivide/SamuraiBuildUpgrades.cpp:106</x:v>
      </x:c>
    </x:row>
    <x:row r="21" ht="38" customHeight="1">
      <x:c r="A21" s="6" t="str">
        <x:v>Blood</x:v>
      </x:c>
      <x:c r="B21" s="6" t="str">
        <x:v>BloodEcho</x:v>
      </x:c>
      <x:c r="C21" s="6" t="str">
        <x:v>Chance</x:v>
      </x:c>
      <x:c r="D21" s="20" t="n">
        <x:v>0.2</x:v>
      </x:c>
      <x:c r="E21" s="6" t="str">
        <x:v>ratio / multiplier</x:v>
      </x:c>
      <x:c r="F21" s="6" t="str">
        <x:v>Saved asset value; overrides fallback</x:v>
      </x:c>
      <x:c r="G21" s="6" t="str">
        <x:v>/Game/HeavensDivide/Upgrades/Samurai/DA_Upgrade_SamuraiBloodEcho</x:v>
      </x:c>
      <x:c r="H21" s="6" t="str">
        <x:v>Source/HeavensDivide/SamuraiAutoAttack.cpp:495</x:v>
      </x:c>
    </x:row>
    <x:row r="22" ht="38" customHeight="1">
      <x:c r="A22" s="6" t="str">
        <x:v>Blood</x:v>
      </x:c>
      <x:c r="B22" s="6" t="str">
        <x:v>BloodEcho</x:v>
      </x:c>
      <x:c r="C22" s="6" t="str">
        <x:v>DamageFraction</x:v>
      </x:c>
      <x:c r="D22" s="13" t="n">
        <x:v>1</x:v>
      </x:c>
      <x:c r="E22" s="6" t="str">
        <x:v>ratio / multiplier</x:v>
      </x:c>
      <x:c r="F22" s="6" t="str">
        <x:v>Saved asset value; overrides fallback</x:v>
      </x:c>
      <x:c r="G22" s="6" t="str">
        <x:v>/Game/HeavensDivide/Upgrades/Samurai/DA_Upgrade_SamuraiBloodEcho</x:v>
      </x:c>
      <x:c r="H22" s="6" t="str">
        <x:v>Source/HeavensDivide/SamuraiAutoAttack.cpp:495</x:v>
      </x:c>
    </x:row>
    <x:row r="23" ht="30" customHeight="1">
      <x:c r="A23" s="6" t="str">
        <x:v>Blood</x:v>
      </x:c>
      <x:c r="B23" s="6" t="str">
        <x:v>BloodEchoChance</x:v>
      </x:c>
      <x:c r="C23" s="6" t="str">
        <x:v>PerRank</x:v>
      </x:c>
      <x:c r="D23" s="20" t="n">
        <x:v>0.1</x:v>
      </x:c>
      <x:c r="E23" s="6" t="str">
        <x:v>card-specific</x:v>
      </x:c>
      <x:c r="F23" s="6" t="str">
        <x:v>Saved asset value; overrides fallback</x:v>
      </x:c>
      <x:c r="G23" s="6" t="str">
        <x:v>/Game/HeavensDivide/Upgrades/Samurai/DA_Upgrade_SamuraiBloodEchoChance</x:v>
      </x:c>
      <x:c r="H23" s="6" t="str">
        <x:v>Source/HeavensDivide/SamuraiAutoAttack.cpp:496</x:v>
      </x:c>
    </x:row>
    <x:row r="24" ht="38" customHeight="1">
      <x:c r="A24" s="6" t="str">
        <x:v>Blood</x:v>
      </x:c>
      <x:c r="B24" s="6" t="str">
        <x:v>BloodPactPower</x:v>
      </x:c>
      <x:c r="C24" s="6" t="str">
        <x:v>BleedDamageMultiplier</x:v>
      </x:c>
      <x:c r="D24" s="20" t="n">
        <x:v>2.5</x:v>
      </x:c>
      <x:c r="E24" s="6" t="str">
        <x:v>ratio / multiplier</x:v>
      </x:c>
      <x:c r="F24" s="6" t="str">
        <x:v>Saved asset value; overrides fallback</x:v>
      </x:c>
      <x:c r="G24" s="6" t="str">
        <x:v>/Game/HeavensDivide/Upgrades/Samurai/DA_Upgrade_SamuraiBloodPactPower</x:v>
      </x:c>
      <x:c r="H24" s="6" t="str">
        <x:v>Source/HeavensDivide/PlayerUpgradeStats.cpp:126
Source/HeavensDivide/EnemyStatusEffectComponent.cpp:112</x:v>
      </x:c>
    </x:row>
    <x:row r="25" ht="30" customHeight="1">
      <x:c r="A25" s="6" t="str">
        <x:v>Blood</x:v>
      </x:c>
      <x:c r="B25" s="6" t="str">
        <x:v>BloodPactPower</x:v>
      </x:c>
      <x:c r="C25" s="6" t="str">
        <x:v>Stat[0] Samurai Attack Speed Multiplier</x:v>
      </x:c>
      <x:c r="D25" s="20" t="n">
        <x:v>0.7</x:v>
      </x:c>
      <x:c r="E25" s="6" t="str">
        <x:v>stat value</x:v>
      </x:c>
      <x:c r="F25" s="6" t="str">
        <x:v>Multiply</x:v>
      </x:c>
      <x:c r="G25" s="6" t="str">
        <x:v>/Game/HeavensDivide/Upgrades/Samurai/DA_Upgrade_SamuraiBloodPactPower</x:v>
      </x:c>
      <x:c r="H25" s="6" t="str">
        <x:v>Source/HeavensDivide/PlayerUpgradeStats.cpp:154</x:v>
      </x:c>
    </x:row>
    <x:row r="26" ht="30" customHeight="1">
      <x:c r="A26" s="6" t="str">
        <x:v>Blood</x:v>
      </x:c>
      <x:c r="B26" s="6" t="str">
        <x:v>BloodPactSpeed</x:v>
      </x:c>
      <x:c r="C26" s="6" t="str">
        <x:v>Stat[0] Samurai Attack Speed Multiplier</x:v>
      </x:c>
      <x:c r="D26" s="20" t="n">
        <x:v>1.4</x:v>
      </x:c>
      <x:c r="E26" s="6" t="str">
        <x:v>stat value</x:v>
      </x:c>
      <x:c r="F26" s="6" t="str">
        <x:v>Multiply</x:v>
      </x:c>
      <x:c r="G26" s="6" t="str">
        <x:v>/Game/HeavensDivide/Upgrades/Samurai/DA_Upgrade_SamuraiBloodPactSpeed</x:v>
      </x:c>
      <x:c r="H26" s="6" t="str">
        <x:v>Source/HeavensDivide/PlayerUpgradeStats.cpp:154</x:v>
      </x:c>
    </x:row>
    <x:row r="27" ht="30" customHeight="1">
      <x:c r="A27" s="6" t="str">
        <x:v>Blood</x:v>
      </x:c>
      <x:c r="B27" s="6" t="str">
        <x:v>BloodPactSpeed</x:v>
      </x:c>
      <x:c r="C27" s="6" t="str">
        <x:v>Stat[1] Samurai Damage Multiplier</x:v>
      </x:c>
      <x:c r="D27" s="14" t="n">
        <x:v>0.75</x:v>
      </x:c>
      <x:c r="E27" s="6" t="str">
        <x:v>stat value</x:v>
      </x:c>
      <x:c r="F27" s="6" t="str">
        <x:v>Multiply</x:v>
      </x:c>
      <x:c r="G27" s="6" t="str">
        <x:v>/Game/HeavensDivide/Upgrades/Samurai/DA_Upgrade_SamuraiBloodPactSpeed</x:v>
      </x:c>
      <x:c r="H27" s="6" t="str">
        <x:v>Source/HeavensDivide/PlayerUpgradeStats.cpp:154</x:v>
      </x:c>
    </x:row>
    <x:row r="28" ht="30" customHeight="1">
      <x:c r="A28" s="6" t="str">
        <x:v>Blood</x:v>
      </x:c>
      <x:c r="B28" s="6" t="str">
        <x:v>BloodRush</x:v>
      </x:c>
      <x:c r="C28" s="6" t="str">
        <x:v>Duration</x:v>
      </x:c>
      <x:c r="D28" s="13" t="n">
        <x:v>3</x:v>
      </x:c>
      <x:c r="E28" s="6" t="str">
        <x:v>s</x:v>
      </x:c>
      <x:c r="F28" s="6" t="str">
        <x:v>Saved asset value; overrides fallback</x:v>
      </x:c>
      <x:c r="G28" s="6" t="str">
        <x:v>/Game/HeavensDivide/Upgrades/Samurai/DA_Upgrade_SamuraiBloodRush</x:v>
      </x:c>
      <x:c r="H28" s="6" t="str">
        <x:v>Source/HeavensDivide/SamuraiBuildUpgrades.cpp:30</x:v>
      </x:c>
    </x:row>
    <x:row r="29" ht="38" customHeight="1">
      <x:c r="A29" s="6" t="str">
        <x:v>Blood</x:v>
      </x:c>
      <x:c r="B29" s="6" t="str">
        <x:v>BloodRush</x:v>
      </x:c>
      <x:c r="C29" s="6" t="str">
        <x:v>MoveSpeedBonus</x:v>
      </x:c>
      <x:c r="D29" s="20" t="n">
        <x:v>0.2</x:v>
      </x:c>
      <x:c r="E29" s="6" t="str">
        <x:v>ratio / multiplier</x:v>
      </x:c>
      <x:c r="F29" s="6" t="str">
        <x:v>Saved asset value; overrides fallback</x:v>
      </x:c>
      <x:c r="G29" s="6" t="str">
        <x:v>/Game/HeavensDivide/Upgrades/Samurai/DA_Upgrade_SamuraiBloodRush</x:v>
      </x:c>
      <x:c r="H29" s="6" t="str">
        <x:v>Source/HeavensDivide/SamuraiBuildUpgrades.cpp:30</x:v>
      </x:c>
    </x:row>
    <x:row r="30" ht="30" customHeight="1">
      <x:c r="A30" s="6" t="str">
        <x:v>Blood</x:v>
      </x:c>
      <x:c r="B30" s="6" t="str">
        <x:v>BloodTransfer</x:v>
      </x:c>
      <x:c r="C30" s="6" t="str">
        <x:v>Radius</x:v>
      </x:c>
      <x:c r="D30" s="13" t="n">
        <x:v>300</x:v>
      </x:c>
      <x:c r="E30" s="6" t="str">
        <x:v>cm</x:v>
      </x:c>
      <x:c r="F30" s="6" t="str">
        <x:v>Saved asset value; overrides fallback</x:v>
      </x:c>
      <x:c r="G30" s="6" t="str">
        <x:v>/Game/HeavensDivide/Upgrades/Samurai/DA_Upgrade_SamuraiBloodTransfer</x:v>
      </x:c>
      <x:c r="H30" s="6" t="str">
        <x:v>Source/HeavensDivide/SamuraiBuildUpgrades.cpp:163</x:v>
      </x:c>
    </x:row>
    <x:row r="31" ht="30" customHeight="1">
      <x:c r="A31" s="6" t="str">
        <x:v>Blood</x:v>
      </x:c>
      <x:c r="B31" s="6" t="str">
        <x:v>BloodTransfer</x:v>
      </x:c>
      <x:c r="C31" s="6" t="str">
        <x:v>Targets</x:v>
      </x:c>
      <x:c r="D31" s="13" t="n">
        <x:v>5</x:v>
      </x:c>
      <x:c r="E31" s="6" t="str">
        <x:v>count / cadence</x:v>
      </x:c>
      <x:c r="F31" s="6" t="str">
        <x:v>No runtime reader found; retained setting</x:v>
      </x:c>
      <x:c r="G31" s="6" t="str">
        <x:v>/Game/HeavensDivide/Upgrades/Samurai/DA_Upgrade_SamuraiBloodTransfer</x:v>
      </x:c>
      <x:c r="H31" s="6" t="str">
        <x:v>Source/HeavensDivide/SamuraiBuildUpgrades.cpp:163</x:v>
      </x:c>
    </x:row>
    <x:row r="32" ht="30" customHeight="1">
      <x:c r="A32" s="6" t="str">
        <x:v>Blood</x:v>
      </x:c>
      <x:c r="B32" s="6" t="str">
        <x:v>BloodTransfer</x:v>
      </x:c>
      <x:c r="C32" s="6" t="str">
        <x:v>TransferFraction</x:v>
      </x:c>
      <x:c r="D32" s="20" t="n">
        <x:v>0.5</x:v>
      </x:c>
      <x:c r="E32" s="6" t="str">
        <x:v>raw numeric</x:v>
      </x:c>
      <x:c r="F32" s="6" t="str">
        <x:v>No runtime reader found; retained setting</x:v>
      </x:c>
      <x:c r="G32" s="6" t="str">
        <x:v>/Game/HeavensDivide/Upgrades/Samurai/DA_Upgrade_SamuraiBloodTransfer</x:v>
      </x:c>
      <x:c r="H32" s="6" t="str">
        <x:v>Source/HeavensDivide/SamuraiBuildUpgrades.cpp:163</x:v>
      </x:c>
    </x:row>
    <x:row r="33" ht="30" customHeight="1">
      <x:c r="A33" s="6" t="str">
        <x:v>Blood</x:v>
      </x:c>
      <x:c r="B33" s="6" t="str">
        <x:v>BloodTransferArea</x:v>
      </x:c>
      <x:c r="C33" s="6" t="str">
        <x:v>PerRank</x:v>
      </x:c>
      <x:c r="D33" s="20" t="n">
        <x:v>0.1</x:v>
      </x:c>
      <x:c r="E33" s="6" t="str">
        <x:v>card-specific</x:v>
      </x:c>
      <x:c r="F33" s="6" t="str">
        <x:v>Saved asset value; overrides fallback</x:v>
      </x:c>
      <x:c r="G33" s="6" t="str">
        <x:v>/Game/HeavensDivide/Upgrades/Samurai/DA_Upgrade_SamuraiBloodTransferArea</x:v>
      </x:c>
      <x:c r="H33" s="6" t="str">
        <x:v>Source/HeavensDivide/SamuraiBuildUpgrades.cpp:109</x:v>
      </x:c>
    </x:row>
    <x:row r="34" ht="30" customHeight="1">
      <x:c r="A34" s="6" t="str">
        <x:v>Blood</x:v>
      </x:c>
      <x:c r="B34" s="6" t="str">
        <x:v>Bloodletting</x:v>
      </x:c>
      <x:c r="C34" s="6" t="str">
        <x:v>PerRank</x:v>
      </x:c>
      <x:c r="D34" s="13" t="n">
        <x:v>1</x:v>
      </x:c>
      <x:c r="E34" s="6" t="str">
        <x:v>card-specific</x:v>
      </x:c>
      <x:c r="F34" s="6" t="str">
        <x:v>Saved asset value; overrides fallback</x:v>
      </x:c>
      <x:c r="G34" s="6" t="str">
        <x:v>/Game/HeavensDivide/Upgrades/Samurai/DA_Upgrade_SamuraiBloodletting</x:v>
      </x:c>
      <x:c r="H34" s="6" t="str">
        <x:v>Source/HeavensDivide/EnemyStatusEffectComponent.cpp:41</x:v>
      </x:c>
    </x:row>
    <x:row r="35" ht="30" customHeight="1">
      <x:c r="A35" s="6" t="str">
        <x:v>Blood</x:v>
      </x:c>
      <x:c r="B35" s="6" t="str">
        <x:v>DoubleCut</x:v>
      </x:c>
      <x:c r="C35" s="6" t="str">
        <x:v>Frequency</x:v>
      </x:c>
      <x:c r="D35" s="13" t="n">
        <x:v>4</x:v>
      </x:c>
      <x:c r="E35" s="6" t="str">
        <x:v>count / cadence</x:v>
      </x:c>
      <x:c r="F35" s="6" t="str">
        <x:v>Saved asset value; overrides fallback</x:v>
      </x:c>
      <x:c r="G35" s="6" t="str">
        <x:v>/Game/HeavensDivide/Upgrades/Samurai/DA_Upgrade_SamuraiDoubleCut</x:v>
      </x:c>
      <x:c r="H35" s="6" t="str">
        <x:v>Source/HeavensDivide/SamuraiAutoAttack.cpp:427</x:v>
      </x:c>
    </x:row>
    <x:row r="36" ht="30" customHeight="1">
      <x:c r="A36" s="6" t="str">
        <x:v>Blood</x:v>
      </x:c>
      <x:c r="B36" s="6" t="str">
        <x:v>DoubleCutFrequency</x:v>
      </x:c>
      <x:c r="C36" s="6" t="str">
        <x:v>PerRank</x:v>
      </x:c>
      <x:c r="D36" s="13" t="n">
        <x:v>1</x:v>
      </x:c>
      <x:c r="E36" s="6" t="str">
        <x:v>card-specific</x:v>
      </x:c>
      <x:c r="F36" s="6" t="str">
        <x:v>Saved asset value; overrides fallback</x:v>
      </x:c>
      <x:c r="G36" s="6" t="str">
        <x:v>/Game/HeavensDivide/Upgrades/Samurai/DA_Upgrade_SamuraiDoubleCutFrequency</x:v>
      </x:c>
      <x:c r="H36" s="6" t="str">
        <x:v>Source/HeavensDivide/SamuraiAutoAttack.cpp:871</x:v>
      </x:c>
    </x:row>
    <x:row r="37" ht="30" customHeight="1">
      <x:c r="A37" s="6" t="str">
        <x:v>Blood</x:v>
      </x:c>
      <x:c r="B37" s="6" t="str">
        <x:v>LingeringWounds</x:v>
      </x:c>
      <x:c r="C37" s="6" t="str">
        <x:v>PerRank</x:v>
      </x:c>
      <x:c r="D37" s="13" t="n">
        <x:v>1</x:v>
      </x:c>
      <x:c r="E37" s="6" t="str">
        <x:v>card-specific</x:v>
      </x:c>
      <x:c r="F37" s="6" t="str">
        <x:v>Saved asset value; overrides fallback</x:v>
      </x:c>
      <x:c r="G37" s="6" t="str">
        <x:v>/Game/HeavensDivide/Upgrades/Samurai/DA_Upgrade_SamuraiLingeringWounds</x:v>
      </x:c>
      <x:c r="H37" s="6" t="str">
        <x:v>Source/HeavensDivide/EnemyStatusEffectComponent.cpp:51</x:v>
      </x:c>
    </x:row>
    <x:row r="38" ht="38" customHeight="1">
      <x:c r="A38" s="6" t="str">
        <x:v>Blood</x:v>
      </x:c>
      <x:c r="B38" s="6" t="str">
        <x:v>SamuraiArea</x:v>
      </x:c>
      <x:c r="C38" s="6" t="str">
        <x:v>Stat[0] Samurai Attack Area Multiplier</x:v>
      </x:c>
      <x:c r="D38" s="14" t="n">
        <x:v>0.25</x:v>
      </x:c>
      <x:c r="E38" s="6" t="str">
        <x:v>stat value</x:v>
      </x:c>
      <x:c r="F38" s="6" t="str">
        <x:v>Add Percent (rolled magnitude replaces this default)</x:v>
      </x:c>
      <x:c r="G38" s="6" t="str">
        <x:v>/Game/HeavensDivide/Upgrades/Samurai/DA_Upgrade_SamuraiArea</x:v>
      </x:c>
      <x:c r="H38" s="6" t="str">
        <x:v>Source/HeavensDivide/PlayerUpgradeStats.cpp:154</x:v>
      </x:c>
    </x:row>
    <x:row r="39" ht="38" customHeight="1">
      <x:c r="A39" s="6" t="str">
        <x:v>Blood</x:v>
      </x:c>
      <x:c r="B39" s="6" t="str">
        <x:v>SamuraiHeavyBlade</x:v>
      </x:c>
      <x:c r="C39" s="6" t="str">
        <x:v>Stat[0] Samurai Damage Multiplier</x:v>
      </x:c>
      <x:c r="D39" s="20" t="n">
        <x:v>0.2</x:v>
      </x:c>
      <x:c r="E39" s="6" t="str">
        <x:v>stat value</x:v>
      </x:c>
      <x:c r="F39" s="6" t="str">
        <x:v>Add Percent (rolled magnitude replaces this default)</x:v>
      </x:c>
      <x:c r="G39" s="6" t="str">
        <x:v>/Game/HeavensDivide/Upgrades/Samurai/DA_Upgrade_SamuraiHeavyBlade</x:v>
      </x:c>
      <x:c r="H39" s="6" t="str">
        <x:v>Source/HeavensDivide/PlayerUpgradeStats.cpp:154</x:v>
      </x:c>
    </x:row>
    <x:row r="40" ht="38" customHeight="1">
      <x:c r="A40" s="6" t="str">
        <x:v>Blood</x:v>
      </x:c>
      <x:c r="B40" s="6" t="str">
        <x:v>SamuraiTempo</x:v>
      </x:c>
      <x:c r="C40" s="6" t="str">
        <x:v>Stat[0] Samurai Attack Speed Multiplier</x:v>
      </x:c>
      <x:c r="D40" s="20" t="n">
        <x:v>0.1</x:v>
      </x:c>
      <x:c r="E40" s="6" t="str">
        <x:v>stat value</x:v>
      </x:c>
      <x:c r="F40" s="6" t="str">
        <x:v>Add Percent (rolled magnitude replaces this default)</x:v>
      </x:c>
      <x:c r="G40" s="6" t="str">
        <x:v>/Game/HeavensDivide/Upgrades/Samurai/DA_Upgrade_SamuraiSamuraiTempo</x:v>
      </x:c>
      <x:c r="H40" s="6" t="str">
        <x:v>Source/HeavensDivide/PlayerUpgradeStats.cpp:154</x:v>
      </x:c>
    </x:row>
    <x:row r="41" ht="51" customHeight="1">
      <x:c r="A41" s="6" t="str">
        <x:v>Iaijutsu</x:v>
      </x:c>
      <x:c r="B41" s="6" t="str">
        <x:v>Iaijutsu</x:v>
      </x:c>
      <x:c r="C41" s="6" t="str">
        <x:v>ChargeDuration</x:v>
      </x:c>
      <x:c r="D41" s="13" t="n">
        <x:v>2</x:v>
      </x:c>
      <x:c r="E41" s="6" t="str">
        <x:v>s</x:v>
      </x:c>
      <x:c r="F41" s="6" t="str">
        <x:v>Saved asset value; overrides fallback</x:v>
      </x:c>
      <x:c r="G41" s="6" t="str">
        <x:v>/Game/HeavensDivide/Upgrades/Samurai/DA_Upgrade_SamuraiIaijutsuStance</x:v>
      </x:c>
      <x:c r="H41" s="6" t="str">
        <x:v>Source/HeavensDivide/SamuraiAutoAttack.cpp:65
Source/HeavensDivide/SamuraiIaijutsu.cpp:66
Source/HeavensDivide/IaijutsuBuild.h:20</x:v>
      </x:c>
    </x:row>
    <x:row r="42" ht="51" customHeight="1">
      <x:c r="A42" s="6" t="str">
        <x:v>Iaijutsu</x:v>
      </x:c>
      <x:c r="B42" s="6" t="str">
        <x:v>Iaijutsu</x:v>
      </x:c>
      <x:c r="C42" s="6" t="str">
        <x:v>Cooldown</x:v>
      </x:c>
      <x:c r="D42" s="20" t="n">
        <x:v>0.5</x:v>
      </x:c>
      <x:c r="E42" s="6" t="str">
        <x:v>s</x:v>
      </x:c>
      <x:c r="F42" s="6" t="str">
        <x:v>Saved asset value; overrides fallback</x:v>
      </x:c>
      <x:c r="G42" s="6" t="str">
        <x:v>/Game/HeavensDivide/Upgrades/Samurai/DA_Upgrade_SamuraiIaijutsuStance</x:v>
      </x:c>
      <x:c r="H42" s="6" t="str">
        <x:v>Source/HeavensDivide/SamuraiAutoAttack.cpp:65
Source/HeavensDivide/SamuraiIaijutsu.cpp:66
Source/HeavensDivide/IaijutsuBuild.h:20</x:v>
      </x:c>
    </x:row>
    <x:row r="43" ht="51" customHeight="1">
      <x:c r="A43" s="6" t="str">
        <x:v>Iaijutsu</x:v>
      </x:c>
      <x:c r="B43" s="6" t="str">
        <x:v>Iaijutsu</x:v>
      </x:c>
      <x:c r="C43" s="6" t="str">
        <x:v>DamageMultiplier</x:v>
      </x:c>
      <x:c r="D43" s="20" t="n">
        <x:v>2.5</x:v>
      </x:c>
      <x:c r="E43" s="6" t="str">
        <x:v>ratio / multiplier</x:v>
      </x:c>
      <x:c r="F43" s="6" t="str">
        <x:v>Saved asset value; overrides fallback</x:v>
      </x:c>
      <x:c r="G43" s="6" t="str">
        <x:v>/Game/HeavensDivide/Upgrades/Samurai/DA_Upgrade_SamuraiIaijutsuStance</x:v>
      </x:c>
      <x:c r="H43" s="6" t="str">
        <x:v>Source/HeavensDivide/SamuraiAutoAttack.cpp:65
Source/HeavensDivide/SamuraiIaijutsu.cpp:66
Source/HeavensDivide/IaijutsuBuild.h:20</x:v>
      </x:c>
    </x:row>
    <x:row r="44" ht="51" customHeight="1">
      <x:c r="A44" s="6" t="str">
        <x:v>Iaijutsu</x:v>
      </x:c>
      <x:c r="B44" s="6" t="str">
        <x:v>Iaijutsu</x:v>
      </x:c>
      <x:c r="C44" s="6" t="str">
        <x:v>DashDistance</x:v>
      </x:c>
      <x:c r="D44" s="13" t="n">
        <x:v>800</x:v>
      </x:c>
      <x:c r="E44" s="6" t="str">
        <x:v>cm</x:v>
      </x:c>
      <x:c r="F44" s="6" t="str">
        <x:v>Saved asset value; overrides fallback</x:v>
      </x:c>
      <x:c r="G44" s="6" t="str">
        <x:v>/Game/HeavensDivide/Upgrades/Samurai/DA_Upgrade_SamuraiIaijutsuStance</x:v>
      </x:c>
      <x:c r="H44" s="6" t="str">
        <x:v>Source/HeavensDivide/SamuraiAutoAttack.cpp:65
Source/HeavensDivide/SamuraiIaijutsu.cpp:66
Source/HeavensDivide/IaijutsuBuild.h:20</x:v>
      </x:c>
    </x:row>
    <x:row r="45" ht="51" customHeight="1">
      <x:c r="A45" s="6" t="str">
        <x:v>Iaijutsu</x:v>
      </x:c>
      <x:c r="B45" s="6" t="str">
        <x:v>Iaijutsu</x:v>
      </x:c>
      <x:c r="C45" s="6" t="str">
        <x:v>MarkBonus</x:v>
      </x:c>
      <x:c r="D45" s="20" t="n">
        <x:v>0.5</x:v>
      </x:c>
      <x:c r="E45" s="6" t="str">
        <x:v>ratio / multiplier</x:v>
      </x:c>
      <x:c r="F45" s="6" t="str">
        <x:v>Saved asset value; overrides fallback</x:v>
      </x:c>
      <x:c r="G45" s="6" t="str">
        <x:v>/Game/HeavensDivide/Upgrades/Samurai/DA_Upgrade_SamuraiIaijutsuStance</x:v>
      </x:c>
      <x:c r="H45" s="6" t="str">
        <x:v>Source/HeavensDivide/SamuraiAutoAttack.cpp:65
Source/HeavensDivide/SamuraiIaijutsu.cpp:66
Source/HeavensDivide/IaijutsuBuild.h:20</x:v>
      </x:c>
    </x:row>
    <x:row r="46" ht="51" customHeight="1">
      <x:c r="A46" s="6" t="str">
        <x:v>Iaijutsu</x:v>
      </x:c>
      <x:c r="B46" s="6" t="str">
        <x:v>Iaijutsu</x:v>
      </x:c>
      <x:c r="C46" s="6" t="str">
        <x:v>MarkDuration</x:v>
      </x:c>
      <x:c r="D46" s="13" t="n">
        <x:v>3</x:v>
      </x:c>
      <x:c r="E46" s="6" t="str">
        <x:v>s</x:v>
      </x:c>
      <x:c r="F46" s="6" t="str">
        <x:v>Saved asset value; overrides fallback</x:v>
      </x:c>
      <x:c r="G46" s="6" t="str">
        <x:v>/Game/HeavensDivide/Upgrades/Samurai/DA_Upgrade_SamuraiIaijutsuStance</x:v>
      </x:c>
      <x:c r="H46" s="6" t="str">
        <x:v>Source/HeavensDivide/SamuraiAutoAttack.cpp:65
Source/HeavensDivide/SamuraiIaijutsu.cpp:66
Source/HeavensDivide/IaijutsuBuild.h:20</x:v>
      </x:c>
    </x:row>
    <x:row r="47" ht="51" customHeight="1">
      <x:c r="A47" s="6" t="str">
        <x:v>Iaijutsu</x:v>
      </x:c>
      <x:c r="B47" s="6" t="str">
        <x:v>Iaijutsu</x:v>
      </x:c>
      <x:c r="C47" s="6" t="str">
        <x:v>PostHitHoldDuration</x:v>
      </x:c>
      <x:c r="D47" s="20" t="n">
        <x:v>0.3</x:v>
      </x:c>
      <x:c r="E47" s="6" t="str">
        <x:v>s</x:v>
      </x:c>
      <x:c r="F47" s="6" t="str">
        <x:v>Saved asset value; overrides fallback</x:v>
      </x:c>
      <x:c r="G47" s="6" t="str">
        <x:v>/Game/HeavensDivide/Upgrades/Samurai/DA_Upgrade_SamuraiIaijutsuStance</x:v>
      </x:c>
      <x:c r="H47" s="6" t="str">
        <x:v>Source/HeavensDivide/SamuraiAutoAttack.cpp:65
Source/HeavensDivide/SamuraiIaijutsu.cpp:66
Source/HeavensDivide/IaijutsuBuild.h:20</x:v>
      </x:c>
    </x:row>
    <x:row r="48" ht="51" customHeight="1">
      <x:c r="A48" s="6" t="str">
        <x:v>Iaijutsu</x:v>
      </x:c>
      <x:c r="B48" s="6" t="str">
        <x:v>Iaijutsu</x:v>
      </x:c>
      <x:c r="C48" s="6" t="str">
        <x:v>SlashRadius</x:v>
      </x:c>
      <x:c r="D48" s="13" t="n">
        <x:v>200</x:v>
      </x:c>
      <x:c r="E48" s="6" t="str">
        <x:v>cm</x:v>
      </x:c>
      <x:c r="F48" s="6" t="str">
        <x:v>Saved asset value; overrides fallback</x:v>
      </x:c>
      <x:c r="G48" s="6" t="str">
        <x:v>/Game/HeavensDivide/Upgrades/Samurai/DA_Upgrade_SamuraiIaijutsuStance</x:v>
      </x:c>
      <x:c r="H48" s="6" t="str">
        <x:v>Source/HeavensDivide/SamuraiAutoAttack.cpp:65
Source/HeavensDivide/SamuraiIaijutsu.cpp:66
Source/HeavensDivide/IaijutsuBuild.h:20</x:v>
      </x:c>
    </x:row>
    <x:row r="49" ht="51" customHeight="1">
      <x:c r="A49" s="6" t="str">
        <x:v>Iaijutsu</x:v>
      </x:c>
      <x:c r="B49" s="6" t="str">
        <x:v>Iaijutsu</x:v>
      </x:c>
      <x:c r="C49" s="6" t="str">
        <x:v>VacuumLeadTime</x:v>
      </x:c>
      <x:c r="D49" s="20" t="n">
        <x:v>0.2</x:v>
      </x:c>
      <x:c r="E49" s="6" t="str">
        <x:v>s</x:v>
      </x:c>
      <x:c r="F49" s="6" t="str">
        <x:v>Saved asset value; overrides fallback</x:v>
      </x:c>
      <x:c r="G49" s="6" t="str">
        <x:v>/Game/HeavensDivide/Upgrades/Samurai/DA_Upgrade_SamuraiIaijutsuStance</x:v>
      </x:c>
      <x:c r="H49" s="6" t="str">
        <x:v>Source/HeavensDivide/SamuraiAutoAttack.cpp:65
Source/HeavensDivide/SamuraiIaijutsu.cpp:66
Source/HeavensDivide/IaijutsuBuild.h:20</x:v>
      </x:c>
    </x:row>
    <x:row r="50" ht="51" customHeight="1">
      <x:c r="A50" s="6" t="str">
        <x:v>Iaijutsu</x:v>
      </x:c>
      <x:c r="B50" s="6" t="str">
        <x:v>Iaijutsu</x:v>
      </x:c>
      <x:c r="C50" s="6" t="str">
        <x:v>VacuumReach</x:v>
      </x:c>
      <x:c r="D50" s="13" t="n">
        <x:v>60</x:v>
      </x:c>
      <x:c r="E50" s="6" t="str">
        <x:v>cm</x:v>
      </x:c>
      <x:c r="F50" s="6" t="str">
        <x:v>Saved asset value; overrides fallback</x:v>
      </x:c>
      <x:c r="G50" s="6" t="str">
        <x:v>/Game/HeavensDivide/Upgrades/Samurai/DA_Upgrade_SamuraiIaijutsuStance</x:v>
      </x:c>
      <x:c r="H50" s="6" t="str">
        <x:v>Source/HeavensDivide/SamuraiAutoAttack.cpp:65
Source/HeavensDivide/SamuraiIaijutsu.cpp:66
Source/HeavensDivide/IaijutsuBuild.h:20</x:v>
      </x:c>
    </x:row>
    <x:row r="51" ht="51" customHeight="1">
      <x:c r="A51" s="6" t="str">
        <x:v>Iaijutsu</x:v>
      </x:c>
      <x:c r="B51" s="6" t="str">
        <x:v>Iaijutsu</x:v>
      </x:c>
      <x:c r="C51" s="6" t="str">
        <x:v>VacuumSpeed</x:v>
      </x:c>
      <x:c r="D51" s="13" t="n">
        <x:v>240</x:v>
      </x:c>
      <x:c r="E51" s="6" t="str">
        <x:v>cm/s</x:v>
      </x:c>
      <x:c r="F51" s="6" t="str">
        <x:v>Saved asset value; overrides fallback</x:v>
      </x:c>
      <x:c r="G51" s="6" t="str">
        <x:v>/Game/HeavensDivide/Upgrades/Samurai/DA_Upgrade_SamuraiIaijutsuStance</x:v>
      </x:c>
      <x:c r="H51" s="6" t="str">
        <x:v>Source/HeavensDivide/SamuraiAutoAttack.cpp:65
Source/HeavensDivide/SamuraiIaijutsu.cpp:66
Source/HeavensDivide/IaijutsuBuild.h:20</x:v>
      </x:c>
    </x:row>
    <x:row r="52" ht="51" customHeight="1">
      <x:c r="A52" s="6" t="str">
        <x:v>Iaijutsu</x:v>
      </x:c>
      <x:c r="B52" s="6" t="str">
        <x:v>Iaijutsu</x:v>
      </x:c>
      <x:c r="C52" s="6" t="str">
        <x:v>VacuumSpeedMultiplier</x:v>
      </x:c>
      <x:c r="D52" s="13" t="n">
        <x:v>3</x:v>
      </x:c>
      <x:c r="E52" s="6" t="str">
        <x:v>ratio / multiplier</x:v>
      </x:c>
      <x:c r="F52" s="6" t="str">
        <x:v>Saved asset value; overrides fallback</x:v>
      </x:c>
      <x:c r="G52" s="6" t="str">
        <x:v>/Game/HeavensDivide/Upgrades/Samurai/DA_Upgrade_SamuraiIaijutsuStance</x:v>
      </x:c>
      <x:c r="H52" s="6" t="str">
        <x:v>Source/HeavensDivide/SamuraiAutoAttack.cpp:65
Source/HeavensDivide/SamuraiIaijutsu.cpp:66
Source/HeavensDivide/IaijutsuBuild.h:20</x:v>
      </x:c>
    </x:row>
    <x:row r="53" ht="38" customHeight="1">
      <x:c r="A53" s="6" t="str">
        <x:v>Iaijutsu</x:v>
      </x:c>
      <x:c r="B53" s="6" t="str">
        <x:v>IaijutsuAOE</x:v>
      </x:c>
      <x:c r="C53" s="6" t="str">
        <x:v>Chance</x:v>
      </x:c>
      <x:c r="D53" s="14" t="n">
        <x:v>0.15</x:v>
      </x:c>
      <x:c r="E53" s="6" t="str">
        <x:v>ratio / multiplier</x:v>
      </x:c>
      <x:c r="F53" s="6" t="str">
        <x:v>Saved asset value; overrides fallback</x:v>
      </x:c>
      <x:c r="G53" s="6" t="str">
        <x:v>/Game/HeavensDivide/Upgrades/Samurai/DA_Upgrade_SamuraiIaijutsuAOE</x:v>
      </x:c>
      <x:c r="H53" s="6" t="str">
        <x:v>Source/HeavensDivide/SamuraiAutoAttack.cpp:187
Source/HeavensDivide/SamuraiIaijutsu.cpp:265</x:v>
      </x:c>
    </x:row>
    <x:row r="54" ht="38" customHeight="1">
      <x:c r="A54" s="6" t="str">
        <x:v>Iaijutsu</x:v>
      </x:c>
      <x:c r="B54" s="6" t="str">
        <x:v>IaijutsuAOE</x:v>
      </x:c>
      <x:c r="C54" s="6" t="str">
        <x:v>Radius</x:v>
      </x:c>
      <x:c r="D54" s="13" t="n">
        <x:v>250</x:v>
      </x:c>
      <x:c r="E54" s="6" t="str">
        <x:v>cm</x:v>
      </x:c>
      <x:c r="F54" s="6" t="str">
        <x:v>Saved asset value; overrides fallback</x:v>
      </x:c>
      <x:c r="G54" s="6" t="str">
        <x:v>/Game/HeavensDivide/Upgrades/Samurai/DA_Upgrade_SamuraiIaijutsuAOE</x:v>
      </x:c>
      <x:c r="H54" s="6" t="str">
        <x:v>Source/HeavensDivide/SamuraiAutoAttack.cpp:187
Source/HeavensDivide/SamuraiIaijutsu.cpp:265</x:v>
      </x:c>
    </x:row>
    <x:row r="55" ht="30" customHeight="1">
      <x:c r="A55" s="6" t="str">
        <x:v>Iaijutsu</x:v>
      </x:c>
      <x:c r="B55" s="6" t="str">
        <x:v>IaijutsuAOEChance</x:v>
      </x:c>
      <x:c r="C55" s="6" t="str">
        <x:v>PerRank</x:v>
      </x:c>
      <x:c r="D55" s="20" t="n">
        <x:v>0.1</x:v>
      </x:c>
      <x:c r="E55" s="6" t="str">
        <x:v>card-specific</x:v>
      </x:c>
      <x:c r="F55" s="6" t="str">
        <x:v>Saved asset value; overrides fallback</x:v>
      </x:c>
      <x:c r="G55" s="6" t="str">
        <x:v>/Game/HeavensDivide/Upgrades/Samurai/DA_Upgrade_SamuraiIaijutsuAOEChance</x:v>
      </x:c>
      <x:c r="H55" s="6" t="str">
        <x:v>Source/HeavensDivide/SamuraiAutoAttack.cpp:187</x:v>
      </x:c>
    </x:row>
    <x:row r="56" ht="38" customHeight="1">
      <x:c r="A56" s="6" t="str">
        <x:v>Iaijutsu</x:v>
      </x:c>
      <x:c r="B56" s="6" t="str">
        <x:v>IaijutsuAssist</x:v>
      </x:c>
      <x:c r="C56" s="6" t="str">
        <x:v>Chance</x:v>
      </x:c>
      <x:c r="D56" s="14" t="n">
        <x:v>0.05</x:v>
      </x:c>
      <x:c r="E56" s="6" t="str">
        <x:v>ratio / multiplier</x:v>
      </x:c>
      <x:c r="F56" s="6" t="str">
        <x:v>Saved asset value; overrides fallback</x:v>
      </x:c>
      <x:c r="G56" s="6" t="str">
        <x:v>/Game/HeavensDivide/Upgrades/Samurai/DA_Upgrade_SamuraiIaijutsuAssist</x:v>
      </x:c>
      <x:c r="H56" s="6" t="str">
        <x:v>Source/HeavensDivide/SamuraiAutoAttack.cpp:143</x:v>
      </x:c>
    </x:row>
    <x:row r="57" ht="30" customHeight="1">
      <x:c r="A57" s="6" t="str">
        <x:v>Iaijutsu</x:v>
      </x:c>
      <x:c r="B57" s="6" t="str">
        <x:v>IaijutsuAssistChance</x:v>
      </x:c>
      <x:c r="C57" s="6" t="str">
        <x:v>PerRank</x:v>
      </x:c>
      <x:c r="D57" s="14" t="n">
        <x:v>0.05</x:v>
      </x:c>
      <x:c r="E57" s="6" t="str">
        <x:v>card-specific</x:v>
      </x:c>
      <x:c r="F57" s="6" t="str">
        <x:v>Saved asset value; overrides fallback</x:v>
      </x:c>
      <x:c r="G57" s="6" t="str">
        <x:v>/Game/HeavensDivide/Upgrades/Samurai/DA_Upgrade_SamuraiIaijutsuAssistChance</x:v>
      </x:c>
      <x:c r="H57" s="6" t="str">
        <x:v>Source/HeavensDivide/SamuraiAutoAttack.cpp:143</x:v>
      </x:c>
    </x:row>
    <x:row r="58" ht="30" customHeight="1">
      <x:c r="A58" s="6" t="str">
        <x:v>Iaijutsu</x:v>
      </x:c>
      <x:c r="B58" s="6" t="str">
        <x:v>IaijutsuCascadePower</x:v>
      </x:c>
      <x:c r="C58" s="6" t="str">
        <x:v>PerRank</x:v>
      </x:c>
      <x:c r="D58" s="20" t="n">
        <x:v>0.2</x:v>
      </x:c>
      <x:c r="E58" s="6" t="str">
        <x:v>card-specific</x:v>
      </x:c>
      <x:c r="F58" s="6" t="str">
        <x:v>Saved asset value; overrides fallback</x:v>
      </x:c>
      <x:c r="G58" s="6" t="str">
        <x:v>/Game/HeavensDivide/Upgrades/Samurai/DA_Upgrade_SamuraiIaijutsuCascadePower</x:v>
      </x:c>
      <x:c r="H58" s="6" t="str">
        <x:v>Source/HeavensDivide/SamuraiIaijutsu.cpp:455</x:v>
      </x:c>
    </x:row>
    <x:row r="59" ht="38" customHeight="1">
      <x:c r="A59" s="6" t="str">
        <x:v>Iaijutsu</x:v>
      </x:c>
      <x:c r="B59" s="6" t="str">
        <x:v>IaijutsuChain</x:v>
      </x:c>
      <x:c r="C59" s="6" t="str">
        <x:v>ChainLimit</x:v>
      </x:c>
      <x:c r="D59" s="13" t="n">
        <x:v>1</x:v>
      </x:c>
      <x:c r="E59" s="6" t="str">
        <x:v>count / cadence</x:v>
      </x:c>
      <x:c r="F59" s="6" t="str">
        <x:v>Saved asset value; overrides fallback</x:v>
      </x:c>
      <x:c r="G59" s="6" t="str">
        <x:v>/Game/HeavensDivide/Upgrades/Samurai/DA_Upgrade_SamuraiIaijutsuChain</x:v>
      </x:c>
      <x:c r="H59" s="6" t="str">
        <x:v>Source/HeavensDivide/SamuraiAutoAttack.cpp:169
Source/HeavensDivide/SamuraiIaijutsu.cpp:423</x:v>
      </x:c>
    </x:row>
    <x:row r="60" ht="30" customHeight="1">
      <x:c r="A60" s="6" t="str">
        <x:v>Iaijutsu</x:v>
      </x:c>
      <x:c r="B60" s="6" t="str">
        <x:v>IaijutsuChargeSpeed</x:v>
      </x:c>
      <x:c r="C60" s="6" t="str">
        <x:v>PerRank</x:v>
      </x:c>
      <x:c r="D60" s="14" t="n">
        <x:v>0.15</x:v>
      </x:c>
      <x:c r="E60" s="6" t="str">
        <x:v>card-specific</x:v>
      </x:c>
      <x:c r="F60" s="6" t="str">
        <x:v>Saved asset value; overrides fallback</x:v>
      </x:c>
      <x:c r="G60" s="6" t="str">
        <x:v>/Game/HeavensDivide/Upgrades/Samurai/DA_Upgrade_SamuraiIaijutsuChargeSpeed</x:v>
      </x:c>
      <x:c r="H60" s="6" t="str">
        <x:v>Source/HeavensDivide/IaijutsuBuild.h:21</x:v>
      </x:c>
    </x:row>
    <x:row r="61" ht="30" customHeight="1">
      <x:c r="A61" s="6" t="str">
        <x:v>Iaijutsu</x:v>
      </x:c>
      <x:c r="B61" s="6" t="str">
        <x:v>IaijutsuDamage</x:v>
      </x:c>
      <x:c r="C61" s="6" t="str">
        <x:v>PerRank</x:v>
      </x:c>
      <x:c r="D61" s="20" t="n">
        <x:v>0.2</x:v>
      </x:c>
      <x:c r="E61" s="6" t="str">
        <x:v>card-specific</x:v>
      </x:c>
      <x:c r="F61" s="6" t="str">
        <x:v>Saved asset value; overrides fallback</x:v>
      </x:c>
      <x:c r="G61" s="6" t="str">
        <x:v>/Game/HeavensDivide/Upgrades/Samurai/DA_Upgrade_SamuraiIaijutsuDamage</x:v>
      </x:c>
      <x:c r="H61" s="6" t="str">
        <x:v>Source/HeavensDivide/SamuraiAutoAttack.cpp:172</x:v>
      </x:c>
    </x:row>
    <x:row r="62" ht="38" customHeight="1">
      <x:c r="A62" s="6" t="str">
        <x:v>Iaijutsu</x:v>
      </x:c>
      <x:c r="B62" s="6" t="str">
        <x:v>IaijutsuDash</x:v>
      </x:c>
      <x:c r="C62" s="6" t="str">
        <x:v>DashDistanceBonus</x:v>
      </x:c>
      <x:c r="D62" s="13" t="n">
        <x:v>1</x:v>
      </x:c>
      <x:c r="E62" s="6" t="str">
        <x:v>ratio / multiplier</x:v>
      </x:c>
      <x:c r="F62" s="6" t="str">
        <x:v>Saved asset value; overrides fallback</x:v>
      </x:c>
      <x:c r="G62" s="6" t="str">
        <x:v>/Game/HeavensDivide/Upgrades/Samurai/DA_Upgrade_SamuraiIaijutsuDash</x:v>
      </x:c>
      <x:c r="H62" s="6" t="str">
        <x:v>Source/HeavensDivide/SamuraiAutoAttack.cpp:150</x:v>
      </x:c>
    </x:row>
    <x:row r="63" ht="30" customHeight="1">
      <x:c r="A63" s="6" t="str">
        <x:v>Iaijutsu</x:v>
      </x:c>
      <x:c r="B63" s="6" t="str">
        <x:v>IaijutsuDashPact</x:v>
      </x:c>
      <x:c r="C63" s="6" t="str">
        <x:v>RechargeSecondsPerKill</x:v>
      </x:c>
      <x:c r="D63" s="20" t="n">
        <x:v>0.3</x:v>
      </x:c>
      <x:c r="E63" s="6" t="str">
        <x:v>s</x:v>
      </x:c>
      <x:c r="F63" s="6" t="str">
        <x:v>Saved asset value; overrides fallback</x:v>
      </x:c>
      <x:c r="G63" s="6" t="str">
        <x:v>/Game/HeavensDivide/Upgrades/Samurai/DA_Upgrade_SamuraiIaijutsuDashPact</x:v>
      </x:c>
      <x:c r="H63" s="6" t="str">
        <x:v>Source/HeavensDivide/SamuraiIaijutsu.cpp:405</x:v>
      </x:c>
    </x:row>
    <x:row r="64" ht="30" customHeight="1">
      <x:c r="A64" s="6" t="str">
        <x:v>Iaijutsu</x:v>
      </x:c>
      <x:c r="B64" s="6" t="str">
        <x:v>IaijutsuDashPower</x:v>
      </x:c>
      <x:c r="C64" s="6" t="str">
        <x:v>PerRank</x:v>
      </x:c>
      <x:c r="D64" s="20" t="n">
        <x:v>0.2</x:v>
      </x:c>
      <x:c r="E64" s="6" t="str">
        <x:v>card-specific</x:v>
      </x:c>
      <x:c r="F64" s="6" t="str">
        <x:v>Saved asset value; overrides fallback</x:v>
      </x:c>
      <x:c r="G64" s="6" t="str">
        <x:v>/Game/HeavensDivide/Upgrades/Samurai/DA_Upgrade_SamuraiIaijutsuDashPower</x:v>
      </x:c>
      <x:c r="H64" s="6" t="str">
        <x:v>Source/HeavensDivide/SamuraiAutoAttack.cpp:156</x:v>
      </x:c>
    </x:row>
    <x:row r="65" ht="30" customHeight="1">
      <x:c r="A65" s="6" t="str">
        <x:v>Iaijutsu</x:v>
      </x:c>
      <x:c r="B65" s="6" t="str">
        <x:v>IaijutsuDoubleCut</x:v>
      </x:c>
      <x:c r="C65" s="6" t="str">
        <x:v>Frequency</x:v>
      </x:c>
      <x:c r="D65" s="13" t="n">
        <x:v>4</x:v>
      </x:c>
      <x:c r="E65" s="6" t="str">
        <x:v>count / cadence</x:v>
      </x:c>
      <x:c r="F65" s="6" t="str">
        <x:v>Saved asset value; overrides fallback</x:v>
      </x:c>
      <x:c r="G65" s="6" t="str">
        <x:v>/Game/HeavensDivide/Upgrades/Samurai/DA_Upgrade_SamuraiIaijutsuDoubleCut</x:v>
      </x:c>
      <x:c r="H65" s="6" t="str">
        <x:v>Source/HeavensDivide/SamuraiAutoAttack.cpp:181</x:v>
      </x:c>
    </x:row>
    <x:row r="66" ht="38" customHeight="1">
      <x:c r="A66" s="6" t="str">
        <x:v>Iaijutsu</x:v>
      </x:c>
      <x:c r="B66" s="6" t="str">
        <x:v>IaijutsuDoubleCut</x:v>
      </x:c>
      <x:c r="C66" s="6" t="str">
        <x:v>IntersectionFraction</x:v>
      </x:c>
      <x:c r="D66" s="20" t="n">
        <x:v>0.6</x:v>
      </x:c>
      <x:c r="E66" s="6" t="str">
        <x:v>ratio / multiplier</x:v>
      </x:c>
      <x:c r="F66" s="6" t="str">
        <x:v>Saved asset value; overrides fallback</x:v>
      </x:c>
      <x:c r="G66" s="6" t="str">
        <x:v>/Game/HeavensDivide/Upgrades/Samurai/DA_Upgrade_SamuraiIaijutsuDoubleCut</x:v>
      </x:c>
      <x:c r="H66" s="6" t="str">
        <x:v>Source/HeavensDivide/SamuraiAutoAttack.cpp:181</x:v>
      </x:c>
    </x:row>
    <x:row r="67" ht="38" customHeight="1">
      <x:c r="A67" s="6" t="str">
        <x:v>Iaijutsu</x:v>
      </x:c>
      <x:c r="B67" s="6" t="str">
        <x:v>IaijutsuDoubleCut</x:v>
      </x:c>
      <x:c r="C67" s="6" t="str">
        <x:v>LengthMultiplier</x:v>
      </x:c>
      <x:c r="D67" s="14" t="n">
        <x:v>1.25</x:v>
      </x:c>
      <x:c r="E67" s="6" t="str">
        <x:v>ratio / multiplier</x:v>
      </x:c>
      <x:c r="F67" s="6" t="str">
        <x:v>Saved asset value; overrides fallback</x:v>
      </x:c>
      <x:c r="G67" s="6" t="str">
        <x:v>/Game/HeavensDivide/Upgrades/Samurai/DA_Upgrade_SamuraiIaijutsuDoubleCut</x:v>
      </x:c>
      <x:c r="H67" s="6" t="str">
        <x:v>Source/HeavensDivide/SamuraiAutoAttack.cpp:181</x:v>
      </x:c>
    </x:row>
    <x:row r="68" ht="30" customHeight="1">
      <x:c r="A68" s="6" t="str">
        <x:v>Iaijutsu</x:v>
      </x:c>
      <x:c r="B68" s="6" t="str">
        <x:v>IaijutsuDoubleCut</x:v>
      </x:c>
      <x:c r="C68" s="6" t="str">
        <x:v>SideAngle</x:v>
      </x:c>
      <x:c r="D68" s="13" t="n">
        <x:v>30</x:v>
      </x:c>
      <x:c r="E68" s="6" t="str">
        <x:v>degrees</x:v>
      </x:c>
      <x:c r="F68" s="6" t="str">
        <x:v>Saved asset value; overrides fallback</x:v>
      </x:c>
      <x:c r="G68" s="6" t="str">
        <x:v>/Game/HeavensDivide/Upgrades/Samurai/DA_Upgrade_SamuraiIaijutsuDoubleCut</x:v>
      </x:c>
      <x:c r="H68" s="6" t="str">
        <x:v>Source/HeavensDivide/SamuraiAutoAttack.cpp:181</x:v>
      </x:c>
    </x:row>
    <x:row r="69" ht="38" customHeight="1">
      <x:c r="A69" s="6" t="str">
        <x:v>Iaijutsu</x:v>
      </x:c>
      <x:c r="B69" s="6" t="str">
        <x:v>IaijutsuDoubleCutFrequency</x:v>
      </x:c>
      <x:c r="C69" s="6" t="str">
        <x:v>PerRank</x:v>
      </x:c>
      <x:c r="D69" s="13" t="n">
        <x:v>1</x:v>
      </x:c>
      <x:c r="E69" s="6" t="str">
        <x:v>card-specific</x:v>
      </x:c>
      <x:c r="F69" s="6" t="str">
        <x:v>Saved asset value; overrides fallback</x:v>
      </x:c>
      <x:c r="G69" s="6" t="str">
        <x:v>/Game/HeavensDivide/Upgrades/Samurai/DA_Upgrade_SamuraiIaijutsuDoubleCutFrequency</x:v>
      </x:c>
      <x:c r="H69" s="6" t="str">
        <x:v>Source/HeavensDivide/SamuraiAutoAttack.cpp:183</x:v>
      </x:c>
    </x:row>
    <x:row r="70" ht="51" customHeight="1">
      <x:c r="A70" s="6" t="str">
        <x:v>Iaijutsu</x:v>
      </x:c>
      <x:c r="B70" s="6" t="str">
        <x:v>IaijutsuInstant</x:v>
      </x:c>
      <x:c r="C70" s="6" t="str">
        <x:v>Chance</x:v>
      </x:c>
      <x:c r="D70" s="14" t="n">
        <x:v>0.15</x:v>
      </x:c>
      <x:c r="E70" s="6" t="str">
        <x:v>ratio / multiplier</x:v>
      </x:c>
      <x:c r="F70" s="6" t="str">
        <x:v>Saved asset value; overrides fallback</x:v>
      </x:c>
      <x:c r="G70" s="6" t="str">
        <x:v>/Game/HeavensDivide/Upgrades/Samurai/DA_Upgrade_SamuraiIaijutsuInstant</x:v>
      </x:c>
      <x:c r="H70" s="6" t="str">
        <x:v>Source/HeavensDivide/SamuraiAutoAttack.cpp:104
Source/HeavensDivide/SamuraiIaijutsu.cpp:451
Source/HeavensDivide/AutoAttackComponent.cpp:780</x:v>
      </x:c>
    </x:row>
    <x:row r="71" ht="51" customHeight="1">
      <x:c r="A71" s="6" t="str">
        <x:v>Iaijutsu</x:v>
      </x:c>
      <x:c r="B71" s="6" t="str">
        <x:v>IaijutsuInstantChance</x:v>
      </x:c>
      <x:c r="C71" s="6" t="str">
        <x:v>PerRank</x:v>
      </x:c>
      <x:c r="D71" s="14" t="n">
        <x:v>0.05</x:v>
      </x:c>
      <x:c r="E71" s="6" t="str">
        <x:v>card-specific</x:v>
      </x:c>
      <x:c r="F71" s="6" t="str">
        <x:v>Saved asset value; overrides fallback</x:v>
      </x:c>
      <x:c r="G71" s="6" t="str">
        <x:v>/Game/HeavensDivide/Upgrades/Samurai/DA_Upgrade_SamuraiIaijutsuInstantChance</x:v>
      </x:c>
      <x:c r="H71" s="6" t="str">
        <x:v>Source/HeavensDivide/SamuraiAutoAttack.cpp:104
Source/HeavensDivide/SamuraiIaijutsu.cpp:451
Source/HeavensDivide/AutoAttackComponent.cpp:780</x:v>
      </x:c>
    </x:row>
    <x:row r="72" ht="30" customHeight="1">
      <x:c r="A72" s="6" t="str">
        <x:v>Iaijutsu</x:v>
      </x:c>
      <x:c r="B72" s="6" t="str">
        <x:v>IaijutsuMarkDamage</x:v>
      </x:c>
      <x:c r="C72" s="6" t="str">
        <x:v>PerRank</x:v>
      </x:c>
      <x:c r="D72" s="20" t="n">
        <x:v>0.1</x:v>
      </x:c>
      <x:c r="E72" s="6" t="str">
        <x:v>card-specific</x:v>
      </x:c>
      <x:c r="F72" s="6" t="str">
        <x:v>Saved asset value; overrides fallback</x:v>
      </x:c>
      <x:c r="G72" s="6" t="str">
        <x:v>/Game/HeavensDivide/Upgrades/Samurai/DA_Upgrade_SamuraiIaijutsuMarkDamage</x:v>
      </x:c>
      <x:c r="H72" s="6" t="str">
        <x:v>Source/HeavensDivide/SamuraiIaijutsu.cpp:400</x:v>
      </x:c>
    </x:row>
    <x:row r="73" ht="38" customHeight="1">
      <x:c r="A73" s="6" t="str">
        <x:v>Iaijutsu</x:v>
      </x:c>
      <x:c r="B73" s="6" t="str">
        <x:v>IaijutsuMarkPact</x:v>
      </x:c>
      <x:c r="C73" s="6" t="str">
        <x:v>MarkMultiplier</x:v>
      </x:c>
      <x:c r="D73" s="13" t="n">
        <x:v>2</x:v>
      </x:c>
      <x:c r="E73" s="6" t="str">
        <x:v>ratio / multiplier</x:v>
      </x:c>
      <x:c r="F73" s="6" t="str">
        <x:v>Saved asset value; overrides fallback</x:v>
      </x:c>
      <x:c r="G73" s="6" t="str">
        <x:v>/Game/HeavensDivide/Upgrades/Samurai/DA_Upgrade_SamuraiIaijutsuMarkPact</x:v>
      </x:c>
      <x:c r="H73" s="6" t="str">
        <x:v>Source/HeavensDivide/SamuraiAutoAttack.cpp:177
Source/HeavensDivide/SamuraiIaijutsu.cpp:401</x:v>
      </x:c>
    </x:row>
    <x:row r="74" ht="38" customHeight="1">
      <x:c r="A74" s="6" t="str">
        <x:v>Iaijutsu</x:v>
      </x:c>
      <x:c r="B74" s="6" t="str">
        <x:v>IaijutsuMarkPact</x:v>
      </x:c>
      <x:c r="C74" s="6" t="str">
        <x:v>WidthMultiplier</x:v>
      </x:c>
      <x:c r="D74" s="20" t="n">
        <x:v>0.8</x:v>
      </x:c>
      <x:c r="E74" s="6" t="str">
        <x:v>ratio / multiplier</x:v>
      </x:c>
      <x:c r="F74" s="6" t="str">
        <x:v>Saved asset value; overrides fallback</x:v>
      </x:c>
      <x:c r="G74" s="6" t="str">
        <x:v>/Game/HeavensDivide/Upgrades/Samurai/DA_Upgrade_SamuraiIaijutsuMarkPact</x:v>
      </x:c>
      <x:c r="H74" s="6" t="str">
        <x:v>Source/HeavensDivide/SamuraiAutoAttack.cpp:177
Source/HeavensDivide/SamuraiIaijutsu.cpp:401</x:v>
      </x:c>
    </x:row>
    <x:row r="75" ht="38" customHeight="1">
      <x:c r="A75" s="6" t="str">
        <x:v>Iaijutsu</x:v>
      </x:c>
      <x:c r="B75" s="6" t="str">
        <x:v>IaijutsuPowerPact</x:v>
      </x:c>
      <x:c r="C75" s="6" t="str">
        <x:v>ChargeMultiplier</x:v>
      </x:c>
      <x:c r="D75" s="20" t="n">
        <x:v>1.3</x:v>
      </x:c>
      <x:c r="E75" s="6" t="str">
        <x:v>ratio / multiplier</x:v>
      </x:c>
      <x:c r="F75" s="6" t="str">
        <x:v>Saved asset value; overrides fallback</x:v>
      </x:c>
      <x:c r="G75" s="6" t="str">
        <x:v>/Game/HeavensDivide/Upgrades/Samurai/DA_Upgrade_SamuraiIaijutsuPowerPact</x:v>
      </x:c>
      <x:c r="H75" s="6" t="str">
        <x:v>Source/HeavensDivide/SamuraiAutoAttack.cpp:176
Source/HeavensDivide/IaijutsuBuild.h:22</x:v>
      </x:c>
    </x:row>
    <x:row r="76" ht="38" customHeight="1">
      <x:c r="A76" s="6" t="str">
        <x:v>Iaijutsu</x:v>
      </x:c>
      <x:c r="B76" s="6" t="str">
        <x:v>IaijutsuPowerPact</x:v>
      </x:c>
      <x:c r="C76" s="6" t="str">
        <x:v>DamageMultiplier</x:v>
      </x:c>
      <x:c r="D76" s="20" t="n">
        <x:v>1.5</x:v>
      </x:c>
      <x:c r="E76" s="6" t="str">
        <x:v>ratio / multiplier</x:v>
      </x:c>
      <x:c r="F76" s="6" t="str">
        <x:v>Saved asset value; overrides fallback</x:v>
      </x:c>
      <x:c r="G76" s="6" t="str">
        <x:v>/Game/HeavensDivide/Upgrades/Samurai/DA_Upgrade_SamuraiIaijutsuPowerPact</x:v>
      </x:c>
      <x:c r="H76" s="6" t="str">
        <x:v>Source/HeavensDivide/SamuraiAutoAttack.cpp:176
Source/HeavensDivide/IaijutsuBuild.h:22</x:v>
      </x:c>
    </x:row>
    <x:row r="77" ht="30" customHeight="1">
      <x:c r="A77" s="6" t="str">
        <x:v>Iaijutsu</x:v>
      </x:c>
      <x:c r="B77" s="6" t="str">
        <x:v>IaijutsuVacuumReach</x:v>
      </x:c>
      <x:c r="C77" s="6" t="str">
        <x:v>PerRank</x:v>
      </x:c>
      <x:c r="D77" s="14" t="n">
        <x:v>0.15</x:v>
      </x:c>
      <x:c r="E77" s="6" t="str">
        <x:v>card-specific</x:v>
      </x:c>
      <x:c r="F77" s="6" t="str">
        <x:v>Saved asset value; overrides fallback</x:v>
      </x:c>
      <x:c r="G77" s="6" t="str">
        <x:v>/Game/HeavensDivide/Upgrades/Samurai/DA_Upgrade_SamuraiIaijutsuVacuumReach</x:v>
      </x:c>
      <x:c r="H77" s="6" t="str">
        <x:v>Source/HeavensDivide/IaijutsuBuild.h:28</x:v>
      </x:c>
    </x:row>
    <x:row r="78" ht="30" customHeight="1">
      <x:c r="A78" s="6" t="str">
        <x:v>Iaijutsu</x:v>
      </x:c>
      <x:c r="B78" s="6" t="str">
        <x:v>IaijutsuWidth</x:v>
      </x:c>
      <x:c r="C78" s="6" t="str">
        <x:v>PerRank</x:v>
      </x:c>
      <x:c r="D78" s="14" t="n">
        <x:v>0.25</x:v>
      </x:c>
      <x:c r="E78" s="6" t="str">
        <x:v>card-specific</x:v>
      </x:c>
      <x:c r="F78" s="6" t="str">
        <x:v>Saved asset value; overrides fallback</x:v>
      </x:c>
      <x:c r="G78" s="6" t="str">
        <x:v>/Game/HeavensDivide/Upgrades/Samurai/DA_Upgrade_SamuraiIaijutsuWidth</x:v>
      </x:c>
      <x:c r="H78" s="6" t="str">
        <x:v>Source/HeavensDivide/SamuraiAutoAttack.cpp:175</x:v>
      </x:c>
    </x:row>
    <x:row r="79" ht="51" customHeight="1">
      <x:c r="A79" s="6" t="str">
        <x:v>Crescent</x:v>
      </x:c>
      <x:c r="B79" s="6" t="str">
        <x:v>BladeWave</x:v>
      </x:c>
      <x:c r="C79" s="6" t="str">
        <x:v>SlowDuration</x:v>
      </x:c>
      <x:c r="D79" s="13" t="n">
        <x:v>5</x:v>
      </x:c>
      <x:c r="E79" s="6" t="str">
        <x:v>s</x:v>
      </x:c>
      <x:c r="F79" s="6" t="str">
        <x:v>Saved asset value; overrides fallback</x:v>
      </x:c>
      <x:c r="G79" s="6" t="str">
        <x:v>/Game/HeavensDivide/Upgrades/Samurai/DA_Upgrade_SamuraiCrescentStance</x:v>
      </x:c>
      <x:c r="H79" s="6" t="str">
        <x:v>Source/HeavensDivide/SamuraiAutoAttack.cpp:275
Source/HeavensDivide/SamuraiBladeWave.cpp:64
Source/HeavensDivide/CrescentBuild.cpp:15</x:v>
      </x:c>
    </x:row>
    <x:row r="80" ht="51" customHeight="1">
      <x:c r="A80" s="6" t="str">
        <x:v>Crescent</x:v>
      </x:c>
      <x:c r="B80" s="6" t="str">
        <x:v>BladeWave</x:v>
      </x:c>
      <x:c r="C80" s="6" t="str">
        <x:v>SlowFraction</x:v>
      </x:c>
      <x:c r="D80" s="20" t="n">
        <x:v>0.3</x:v>
      </x:c>
      <x:c r="E80" s="6" t="str">
        <x:v>ratio / multiplier</x:v>
      </x:c>
      <x:c r="F80" s="6" t="str">
        <x:v>Saved asset value; overrides fallback</x:v>
      </x:c>
      <x:c r="G80" s="6" t="str">
        <x:v>/Game/HeavensDivide/Upgrades/Samurai/DA_Upgrade_SamuraiCrescentStance</x:v>
      </x:c>
      <x:c r="H80" s="6" t="str">
        <x:v>Source/HeavensDivide/SamuraiAutoAttack.cpp:275
Source/HeavensDivide/SamuraiBladeWave.cpp:64
Source/HeavensDivide/CrescentBuild.cpp:15</x:v>
      </x:c>
    </x:row>
    <x:row r="81" ht="51" customHeight="1">
      <x:c r="A81" s="6" t="str">
        <x:v>Crescent</x:v>
      </x:c>
      <x:c r="B81" s="6" t="str">
        <x:v>BladeWave</x:v>
      </x:c>
      <x:c r="C81" s="6" t="str">
        <x:v>SpawnForwardOffset</x:v>
      </x:c>
      <x:c r="D81" s="13" t="n">
        <x:v>80</x:v>
      </x:c>
      <x:c r="E81" s="6" t="str">
        <x:v>cm</x:v>
      </x:c>
      <x:c r="F81" s="6" t="str">
        <x:v>Saved asset value; overrides fallback</x:v>
      </x:c>
      <x:c r="G81" s="6" t="str">
        <x:v>/Game/HeavensDivide/Upgrades/Samurai/DA_Upgrade_SamuraiCrescentStance</x:v>
      </x:c>
      <x:c r="H81" s="6" t="str">
        <x:v>Source/HeavensDivide/SamuraiAutoAttack.cpp:275
Source/HeavensDivide/SamuraiBladeWave.cpp:64
Source/HeavensDivide/CrescentBuild.cpp:15</x:v>
      </x:c>
    </x:row>
    <x:row r="82" ht="51" customHeight="1">
      <x:c r="A82" s="6" t="str">
        <x:v>Crescent</x:v>
      </x:c>
      <x:c r="B82" s="6" t="str">
        <x:v>BladeWave</x:v>
      </x:c>
      <x:c r="C82" s="6" t="str">
        <x:v>SpawnHeightOffset</x:v>
      </x:c>
      <x:c r="D82" s="13" t="n">
        <x:v>60</x:v>
      </x:c>
      <x:c r="E82" s="6" t="str">
        <x:v>cm</x:v>
      </x:c>
      <x:c r="F82" s="6" t="str">
        <x:v>Saved asset value; overrides fallback</x:v>
      </x:c>
      <x:c r="G82" s="6" t="str">
        <x:v>/Game/HeavensDivide/Upgrades/Samurai/DA_Upgrade_SamuraiCrescentStance</x:v>
      </x:c>
      <x:c r="H82" s="6" t="str">
        <x:v>Source/HeavensDivide/SamuraiAutoAttack.cpp:275
Source/HeavensDivide/SamuraiBladeWave.cpp:64
Source/HeavensDivide/CrescentBuild.cpp:15</x:v>
      </x:c>
    </x:row>
    <x:row r="83" ht="51" customHeight="1">
      <x:c r="A83" s="6" t="str">
        <x:v>Crescent</x:v>
      </x:c>
      <x:c r="B83" s="6" t="str">
        <x:v>BladeWave</x:v>
      </x:c>
      <x:c r="C83" s="6" t="str">
        <x:v>StatusStacks</x:v>
      </x:c>
      <x:c r="D83" s="13" t="n">
        <x:v>1</x:v>
      </x:c>
      <x:c r="E83" s="6" t="str">
        <x:v>count / cadence</x:v>
      </x:c>
      <x:c r="F83" s="6" t="str">
        <x:v>Saved asset value; overrides fallback</x:v>
      </x:c>
      <x:c r="G83" s="6" t="str">
        <x:v>/Game/HeavensDivide/Upgrades/Samurai/DA_Upgrade_SamuraiCrescentStance</x:v>
      </x:c>
      <x:c r="H83" s="6" t="str">
        <x:v>Source/HeavensDivide/SamuraiAutoAttack.cpp:275
Source/HeavensDivide/SamuraiBladeWave.cpp:64
Source/HeavensDivide/CrescentBuild.cpp:15</x:v>
      </x:c>
    </x:row>
    <x:row r="84" ht="51" customHeight="1">
      <x:c r="A84" s="6" t="str">
        <x:v>Crescent</x:v>
      </x:c>
      <x:c r="B84" s="6" t="str">
        <x:v>BladeWave</x:v>
      </x:c>
      <x:c r="C84" s="6" t="str">
        <x:v>WaveDamageMultiplier</x:v>
      </x:c>
      <x:c r="D84" s="20" t="n">
        <x:v>1.5</x:v>
      </x:c>
      <x:c r="E84" s="6" t="str">
        <x:v>ratio / multiplier</x:v>
      </x:c>
      <x:c r="F84" s="6" t="str">
        <x:v>Saved asset value; overrides fallback</x:v>
      </x:c>
      <x:c r="G84" s="6" t="str">
        <x:v>/Game/HeavensDivide/Upgrades/Samurai/DA_Upgrade_SamuraiCrescentStance</x:v>
      </x:c>
      <x:c r="H84" s="6" t="str">
        <x:v>Source/HeavensDivide/SamuraiAutoAttack.cpp:275
Source/HeavensDivide/SamuraiBladeWave.cpp:64
Source/HeavensDivide/CrescentBuild.cpp:15</x:v>
      </x:c>
    </x:row>
    <x:row r="85" ht="51" customHeight="1">
      <x:c r="A85" s="6" t="str">
        <x:v>Crescent</x:v>
      </x:c>
      <x:c r="B85" s="6" t="str">
        <x:v>BladeWave</x:v>
      </x:c>
      <x:c r="C85" s="6" t="str">
        <x:v>WaveHeight</x:v>
      </x:c>
      <x:c r="D85" s="13" t="n">
        <x:v>120</x:v>
      </x:c>
      <x:c r="E85" s="6" t="str">
        <x:v>cm</x:v>
      </x:c>
      <x:c r="F85" s="6" t="str">
        <x:v>Saved asset value; overrides fallback</x:v>
      </x:c>
      <x:c r="G85" s="6" t="str">
        <x:v>/Game/HeavensDivide/Upgrades/Samurai/DA_Upgrade_SamuraiCrescentStance</x:v>
      </x:c>
      <x:c r="H85" s="6" t="str">
        <x:v>Source/HeavensDivide/SamuraiAutoAttack.cpp:275
Source/HeavensDivide/SamuraiBladeWave.cpp:64
Source/HeavensDivide/CrescentBuild.cpp:15</x:v>
      </x:c>
    </x:row>
    <x:row r="86" ht="51" customHeight="1">
      <x:c r="A86" s="6" t="str">
        <x:v>Crescent</x:v>
      </x:c>
      <x:c r="B86" s="6" t="str">
        <x:v>BladeWave</x:v>
      </x:c>
      <x:c r="C86" s="6" t="str">
        <x:v>WaveSpeed</x:v>
      </x:c>
      <x:c r="D86" s="13" t="n">
        <x:v>1400</x:v>
      </x:c>
      <x:c r="E86" s="6" t="str">
        <x:v>cm/s</x:v>
      </x:c>
      <x:c r="F86" s="6" t="str">
        <x:v>Saved asset value; overrides fallback</x:v>
      </x:c>
      <x:c r="G86" s="6" t="str">
        <x:v>/Game/HeavensDivide/Upgrades/Samurai/DA_Upgrade_SamuraiCrescentStance</x:v>
      </x:c>
      <x:c r="H86" s="6" t="str">
        <x:v>Source/HeavensDivide/SamuraiAutoAttack.cpp:275
Source/HeavensDivide/SamuraiBladeWave.cpp:64
Source/HeavensDivide/CrescentBuild.cpp:15</x:v>
      </x:c>
    </x:row>
    <x:row r="87" ht="51" customHeight="1">
      <x:c r="A87" s="6" t="str">
        <x:v>Crescent</x:v>
      </x:c>
      <x:c r="B87" s="6" t="str">
        <x:v>BladeWave</x:v>
      </x:c>
      <x:c r="C87" s="6" t="str">
        <x:v>WaveThickness</x:v>
      </x:c>
      <x:c r="D87" s="13" t="n">
        <x:v>55</x:v>
      </x:c>
      <x:c r="E87" s="6" t="str">
        <x:v>cm</x:v>
      </x:c>
      <x:c r="F87" s="6" t="str">
        <x:v>Saved asset value; overrides fallback</x:v>
      </x:c>
      <x:c r="G87" s="6" t="str">
        <x:v>/Game/HeavensDivide/Upgrades/Samurai/DA_Upgrade_SamuraiCrescentStance</x:v>
      </x:c>
      <x:c r="H87" s="6" t="str">
        <x:v>Source/HeavensDivide/SamuraiAutoAttack.cpp:275
Source/HeavensDivide/SamuraiBladeWave.cpp:64
Source/HeavensDivide/CrescentBuild.cpp:15</x:v>
      </x:c>
    </x:row>
    <x:row r="88" ht="51" customHeight="1">
      <x:c r="A88" s="6" t="str">
        <x:v>Crescent</x:v>
      </x:c>
      <x:c r="B88" s="6" t="str">
        <x:v>BladeWave</x:v>
      </x:c>
      <x:c r="C88" s="6" t="str">
        <x:v>WaveTravelDistance</x:v>
      </x:c>
      <x:c r="D88" s="13" t="n">
        <x:v>650</x:v>
      </x:c>
      <x:c r="E88" s="6" t="str">
        <x:v>cm</x:v>
      </x:c>
      <x:c r="F88" s="6" t="str">
        <x:v>Saved asset value; overrides fallback</x:v>
      </x:c>
      <x:c r="G88" s="6" t="str">
        <x:v>/Game/HeavensDivide/Upgrades/Samurai/DA_Upgrade_SamuraiCrescentStance</x:v>
      </x:c>
      <x:c r="H88" s="6" t="str">
        <x:v>Source/HeavensDivide/SamuraiAutoAttack.cpp:275
Source/HeavensDivide/SamuraiBladeWave.cpp:64
Source/HeavensDivide/CrescentBuild.cpp:15</x:v>
      </x:c>
    </x:row>
    <x:row r="89" ht="51" customHeight="1">
      <x:c r="A89" s="6" t="str">
        <x:v>Crescent</x:v>
      </x:c>
      <x:c r="B89" s="6" t="str">
        <x:v>BladeWave</x:v>
      </x:c>
      <x:c r="C89" s="6" t="str">
        <x:v>WaveVFXAuthoredDuration</x:v>
      </x:c>
      <x:c r="D89" s="14" t="n">
        <x:v>0.18</x:v>
      </x:c>
      <x:c r="E89" s="6" t="str">
        <x:v>s</x:v>
      </x:c>
      <x:c r="F89" s="6" t="str">
        <x:v>Saved asset value; overrides fallback</x:v>
      </x:c>
      <x:c r="G89" s="6" t="str">
        <x:v>/Game/HeavensDivide/Upgrades/Samurai/DA_Upgrade_SamuraiCrescentStance</x:v>
      </x:c>
      <x:c r="H89" s="6" t="str">
        <x:v>Source/HeavensDivide/SamuraiAutoAttack.cpp:275
Source/HeavensDivide/SamuraiBladeWave.cpp:64
Source/HeavensDivide/CrescentBuild.cpp:15</x:v>
      </x:c>
    </x:row>
    <x:row r="90" ht="51" customHeight="1">
      <x:c r="A90" s="6" t="str">
        <x:v>Crescent</x:v>
      </x:c>
      <x:c r="B90" s="6" t="str">
        <x:v>BladeWave</x:v>
      </x:c>
      <x:c r="C90" s="6" t="str">
        <x:v>WaveWidth</x:v>
      </x:c>
      <x:c r="D90" s="13" t="n">
        <x:v>300</x:v>
      </x:c>
      <x:c r="E90" s="6" t="str">
        <x:v>cm</x:v>
      </x:c>
      <x:c r="F90" s="6" t="str">
        <x:v>Saved asset value; overrides fallback</x:v>
      </x:c>
      <x:c r="G90" s="6" t="str">
        <x:v>/Game/HeavensDivide/Upgrades/Samurai/DA_Upgrade_SamuraiCrescentStance</x:v>
      </x:c>
      <x:c r="H90" s="6" t="str">
        <x:v>Source/HeavensDivide/SamuraiAutoAttack.cpp:275
Source/HeavensDivide/SamuraiBladeWave.cpp:64
Source/HeavensDivide/CrescentBuild.cpp:15</x:v>
      </x:c>
    </x:row>
    <x:row r="91" ht="38" customHeight="1">
      <x:c r="A91" s="6" t="str">
        <x:v>Crescent</x:v>
      </x:c>
      <x:c r="B91" s="6" t="str">
        <x:v>CrescentArc</x:v>
      </x:c>
      <x:c r="C91" s="6" t="str">
        <x:v>Chance</x:v>
      </x:c>
      <x:c r="D91" s="14" t="n">
        <x:v>0.15</x:v>
      </x:c>
      <x:c r="E91" s="6" t="str">
        <x:v>ratio / multiplier</x:v>
      </x:c>
      <x:c r="F91" s="6" t="str">
        <x:v>Saved asset value; overrides fallback</x:v>
      </x:c>
      <x:c r="G91" s="6" t="str">
        <x:v>/Game/HeavensDivide/Upgrades/Samurai/DA_Upgrade_SamuraiCrescentArc</x:v>
      </x:c>
      <x:c r="H91" s="6" t="str">
        <x:v>Source/HeavensDivide/SamuraiAutoAttack.cpp:555</x:v>
      </x:c>
    </x:row>
    <x:row r="92" ht="30" customHeight="1">
      <x:c r="A92" s="6" t="str">
        <x:v>Crescent</x:v>
      </x:c>
      <x:c r="B92" s="6" t="str">
        <x:v>CrescentArc</x:v>
      </x:c>
      <x:c r="C92" s="6" t="str">
        <x:v>SideAngle</x:v>
      </x:c>
      <x:c r="D92" s="13" t="n">
        <x:v>20</x:v>
      </x:c>
      <x:c r="E92" s="6" t="str">
        <x:v>degrees</x:v>
      </x:c>
      <x:c r="F92" s="6" t="str">
        <x:v>Saved asset value; overrides fallback</x:v>
      </x:c>
      <x:c r="G92" s="6" t="str">
        <x:v>/Game/HeavensDivide/Upgrades/Samurai/DA_Upgrade_SamuraiCrescentArc</x:v>
      </x:c>
      <x:c r="H92" s="6" t="str">
        <x:v>Source/HeavensDivide/SamuraiAutoAttack.cpp:555</x:v>
      </x:c>
    </x:row>
    <x:row r="93" ht="30" customHeight="1">
      <x:c r="A93" s="6" t="str">
        <x:v>Crescent</x:v>
      </x:c>
      <x:c r="B93" s="6" t="str">
        <x:v>CrescentArcChance</x:v>
      </x:c>
      <x:c r="C93" s="6" t="str">
        <x:v>PerRank</x:v>
      </x:c>
      <x:c r="D93" s="14" t="n">
        <x:v>0.05</x:v>
      </x:c>
      <x:c r="E93" s="6" t="str">
        <x:v>card-specific</x:v>
      </x:c>
      <x:c r="F93" s="6" t="str">
        <x:v>Saved asset value; overrides fallback</x:v>
      </x:c>
      <x:c r="G93" s="6" t="str">
        <x:v>/Game/HeavensDivide/Upgrades/Samurai/DA_Upgrade_SamuraiCrescentArcChance</x:v>
      </x:c>
      <x:c r="H93" s="6" t="str">
        <x:v>Source/HeavensDivide/SamuraiAutoAttack.cpp:555</x:v>
      </x:c>
    </x:row>
    <x:row r="94" ht="38" customHeight="1">
      <x:c r="A94" s="6" t="str">
        <x:v>Crescent</x:v>
      </x:c>
      <x:c r="B94" s="6" t="str">
        <x:v>CrescentAssist</x:v>
      </x:c>
      <x:c r="C94" s="6" t="str">
        <x:v>Chance</x:v>
      </x:c>
      <x:c r="D94" s="14" t="n">
        <x:v>0.05</x:v>
      </x:c>
      <x:c r="E94" s="6" t="str">
        <x:v>ratio / multiplier</x:v>
      </x:c>
      <x:c r="F94" s="6" t="str">
        <x:v>Saved asset value; overrides fallback</x:v>
      </x:c>
      <x:c r="G94" s="6" t="str">
        <x:v>/Game/HeavensDivide/Upgrades/Samurai/DA_Upgrade_SamuraiCrescentAssist</x:v>
      </x:c>
      <x:c r="H94" s="6" t="str">
        <x:v>Source/HeavensDivide/CrescentBuild.cpp:17</x:v>
      </x:c>
    </x:row>
    <x:row r="95" ht="30" customHeight="1">
      <x:c r="A95" s="6" t="str">
        <x:v>Crescent</x:v>
      </x:c>
      <x:c r="B95" s="6" t="str">
        <x:v>CrescentAssistChance</x:v>
      </x:c>
      <x:c r="C95" s="6" t="str">
        <x:v>PerRank</x:v>
      </x:c>
      <x:c r="D95" s="14" t="n">
        <x:v>0.05</x:v>
      </x:c>
      <x:c r="E95" s="6" t="str">
        <x:v>card-specific</x:v>
      </x:c>
      <x:c r="F95" s="6" t="str">
        <x:v>Saved asset value; overrides fallback</x:v>
      </x:c>
      <x:c r="G95" s="6" t="str">
        <x:v>/Game/HeavensDivide/Upgrades/Samurai/DA_Upgrade_SamuraiCrescentAssistChance</x:v>
      </x:c>
      <x:c r="H95" s="6" t="str">
        <x:v>Source/HeavensDivide/CrescentBuild.cpp:17</x:v>
      </x:c>
    </x:row>
    <x:row r="96" ht="30" customHeight="1">
      <x:c r="A96" s="6" t="str">
        <x:v>Crescent</x:v>
      </x:c>
      <x:c r="B96" s="6" t="str">
        <x:v>CrescentDamage</x:v>
      </x:c>
      <x:c r="C96" s="6" t="str">
        <x:v>PerRank</x:v>
      </x:c>
      <x:c r="D96" s="20" t="n">
        <x:v>0.2</x:v>
      </x:c>
      <x:c r="E96" s="6" t="str">
        <x:v>card-specific</x:v>
      </x:c>
      <x:c r="F96" s="6" t="str">
        <x:v>Saved asset value; overrides fallback</x:v>
      </x:c>
      <x:c r="G96" s="6" t="str">
        <x:v>/Game/HeavensDivide/Upgrades/Samurai/DA_Upgrade_SamuraiCrescentDamage</x:v>
      </x:c>
      <x:c r="H96" s="6" t="str">
        <x:v>Source/HeavensDivide/SamuraiAutoAttack.cpp:541</x:v>
      </x:c>
    </x:row>
    <x:row r="97" ht="30" customHeight="1">
      <x:c r="A97" s="6" t="str">
        <x:v>Crescent</x:v>
      </x:c>
      <x:c r="B97" s="6" t="str">
        <x:v>CrescentDoubleCut</x:v>
      </x:c>
      <x:c r="C97" s="6" t="str">
        <x:v>Frequency</x:v>
      </x:c>
      <x:c r="D97" s="13" t="n">
        <x:v>4</x:v>
      </x:c>
      <x:c r="E97" s="6" t="str">
        <x:v>count / cadence</x:v>
      </x:c>
      <x:c r="F97" s="6" t="str">
        <x:v>Saved asset value; overrides fallback</x:v>
      </x:c>
      <x:c r="G97" s="6" t="str">
        <x:v>/Game/HeavensDivide/Upgrades/Samurai/DA_Upgrade_SamuraiCrescentDoubleCut</x:v>
      </x:c>
      <x:c r="H97" s="6" t="str">
        <x:v>Source/HeavensDivide/SamuraiAutoAttack.cpp:547</x:v>
      </x:c>
    </x:row>
    <x:row r="98" ht="38" customHeight="1">
      <x:c r="A98" s="6" t="str">
        <x:v>Crescent</x:v>
      </x:c>
      <x:c r="B98" s="6" t="str">
        <x:v>CrescentDoubleCutFrequency</x:v>
      </x:c>
      <x:c r="C98" s="6" t="str">
        <x:v>PerRank</x:v>
      </x:c>
      <x:c r="D98" s="13" t="n">
        <x:v>1</x:v>
      </x:c>
      <x:c r="E98" s="6" t="str">
        <x:v>card-specific</x:v>
      </x:c>
      <x:c r="F98" s="6" t="str">
        <x:v>Saved asset value; overrides fallback</x:v>
      </x:c>
      <x:c r="G98" s="6" t="str">
        <x:v>/Game/HeavensDivide/Upgrades/Samurai/DA_Upgrade_SamuraiCrescentDoubleCutFrequency</x:v>
      </x:c>
      <x:c r="H98" s="6" t="str">
        <x:v>Source/HeavensDivide/SamuraiAutoAttack.cpp:551</x:v>
      </x:c>
    </x:row>
    <x:row r="99" ht="30" customHeight="1">
      <x:c r="A99" s="6" t="str">
        <x:v>Crescent</x:v>
      </x:c>
      <x:c r="B99" s="6" t="str">
        <x:v>CrescentEruptionPact</x:v>
      </x:c>
      <x:c r="C99" s="6" t="str">
        <x:v>EruptionDelay</x:v>
      </x:c>
      <x:c r="D99" s="20" t="n">
        <x:v>0.3</x:v>
      </x:c>
      <x:c r="E99" s="6" t="str">
        <x:v>s</x:v>
      </x:c>
      <x:c r="F99" s="6" t="str">
        <x:v>Saved asset value; overrides fallback</x:v>
      </x:c>
      <x:c r="G99" s="6" t="str">
        <x:v>/Game/HeavensDivide/Upgrades/Samurai/DA_Upgrade_SamuraiCrescentEruptionPact</x:v>
      </x:c>
      <x:c r="H99" s="6" t="str">
        <x:v>Source/HeavensDivide/SamuraiWaveField.cpp:32</x:v>
      </x:c>
    </x:row>
    <x:row r="100" ht="38" customHeight="1">
      <x:c r="A100" s="6" t="str">
        <x:v>Crescent</x:v>
      </x:c>
      <x:c r="B100" s="6" t="str">
        <x:v>CrescentField</x:v>
      </x:c>
      <x:c r="C100" s="6" t="str">
        <x:v>Chance</x:v>
      </x:c>
      <x:c r="D100" s="14" t="n">
        <x:v>0.15</x:v>
      </x:c>
      <x:c r="E100" s="6" t="str">
        <x:v>ratio / multiplier</x:v>
      </x:c>
      <x:c r="F100" s="6" t="str">
        <x:v>Saved asset value; overrides fallback</x:v>
      </x:c>
      <x:c r="G100" s="6" t="str">
        <x:v>/Game/HeavensDivide/Upgrades/Samurai/DA_Upgrade_SamuraiCrescentField</x:v>
      </x:c>
      <x:c r="H100" s="6" t="str">
        <x:v>Source/HeavensDivide/SamuraiBladeWave.cpp:64
Source/HeavensDivide/SamuraiWaveField.cpp:23</x:v>
      </x:c>
    </x:row>
    <x:row r="101" ht="38" customHeight="1">
      <x:c r="A101" s="6" t="str">
        <x:v>Crescent</x:v>
      </x:c>
      <x:c r="B101" s="6" t="str">
        <x:v>CrescentField</x:v>
      </x:c>
      <x:c r="C101" s="6" t="str">
        <x:v>DamagePerSecond</x:v>
      </x:c>
      <x:c r="D101" s="20" t="n">
        <x:v>0.3</x:v>
      </x:c>
      <x:c r="E101" s="6" t="str">
        <x:v>ratio / multiplier</x:v>
      </x:c>
      <x:c r="F101" s="6" t="str">
        <x:v>Saved asset value; overrides fallback</x:v>
      </x:c>
      <x:c r="G101" s="6" t="str">
        <x:v>/Game/HeavensDivide/Upgrades/Samurai/DA_Upgrade_SamuraiCrescentField</x:v>
      </x:c>
      <x:c r="H101" s="6" t="str">
        <x:v>Source/HeavensDivide/SamuraiBladeWave.cpp:64
Source/HeavensDivide/SamuraiWaveField.cpp:23</x:v>
      </x:c>
    </x:row>
    <x:row r="102" ht="38" customHeight="1">
      <x:c r="A102" s="6" t="str">
        <x:v>Crescent</x:v>
      </x:c>
      <x:c r="B102" s="6" t="str">
        <x:v>CrescentField</x:v>
      </x:c>
      <x:c r="C102" s="6" t="str">
        <x:v>Duration</x:v>
      </x:c>
      <x:c r="D102" s="13" t="n">
        <x:v>3</x:v>
      </x:c>
      <x:c r="E102" s="6" t="str">
        <x:v>s</x:v>
      </x:c>
      <x:c r="F102" s="6" t="str">
        <x:v>Saved asset value; overrides fallback</x:v>
      </x:c>
      <x:c r="G102" s="6" t="str">
        <x:v>/Game/HeavensDivide/Upgrades/Samurai/DA_Upgrade_SamuraiCrescentField</x:v>
      </x:c>
      <x:c r="H102" s="6" t="str">
        <x:v>Source/HeavensDivide/SamuraiBladeWave.cpp:64
Source/HeavensDivide/SamuraiWaveField.cpp:23</x:v>
      </x:c>
    </x:row>
    <x:row r="103" ht="38" customHeight="1">
      <x:c r="A103" s="6" t="str">
        <x:v>Crescent</x:v>
      </x:c>
      <x:c r="B103" s="6" t="str">
        <x:v>CrescentField</x:v>
      </x:c>
      <x:c r="C103" s="6" t="str">
        <x:v>TickInterval</x:v>
      </x:c>
      <x:c r="D103" s="20" t="n">
        <x:v>0.5</x:v>
      </x:c>
      <x:c r="E103" s="6" t="str">
        <x:v>s</x:v>
      </x:c>
      <x:c r="F103" s="6" t="str">
        <x:v>Saved asset value; overrides fallback</x:v>
      </x:c>
      <x:c r="G103" s="6" t="str">
        <x:v>/Game/HeavensDivide/Upgrades/Samurai/DA_Upgrade_SamuraiCrescentField</x:v>
      </x:c>
      <x:c r="H103" s="6" t="str">
        <x:v>Source/HeavensDivide/SamuraiBladeWave.cpp:64
Source/HeavensDivide/SamuraiWaveField.cpp:23</x:v>
      </x:c>
    </x:row>
    <x:row r="104" ht="30" customHeight="1">
      <x:c r="A104" s="6" t="str">
        <x:v>Crescent</x:v>
      </x:c>
      <x:c r="B104" s="6" t="str">
        <x:v>CrescentFieldChance</x:v>
      </x:c>
      <x:c r="C104" s="6" t="str">
        <x:v>PerRank</x:v>
      </x:c>
      <x:c r="D104" s="14" t="n">
        <x:v>0.05</x:v>
      </x:c>
      <x:c r="E104" s="6" t="str">
        <x:v>card-specific</x:v>
      </x:c>
      <x:c r="F104" s="6" t="str">
        <x:v>Saved asset value; overrides fallback</x:v>
      </x:c>
      <x:c r="G104" s="6" t="str">
        <x:v>/Game/HeavensDivide/Upgrades/Samurai/DA_Upgrade_SamuraiCrescentFieldChance</x:v>
      </x:c>
      <x:c r="H104" s="6" t="str">
        <x:v>Source/HeavensDivide/SamuraiBladeWave.cpp:65</x:v>
      </x:c>
    </x:row>
    <x:row r="105" ht="38" customHeight="1">
      <x:c r="A105" s="6" t="str">
        <x:v>Crescent</x:v>
      </x:c>
      <x:c r="B105" s="6" t="str">
        <x:v>CrescentFieldPact</x:v>
      </x:c>
      <x:c r="C105" s="6" t="str">
        <x:v>FieldDamageMultiplier</x:v>
      </x:c>
      <x:c r="D105" s="13" t="n">
        <x:v>2</x:v>
      </x:c>
      <x:c r="E105" s="6" t="str">
        <x:v>ratio / multiplier</x:v>
      </x:c>
      <x:c r="F105" s="6" t="str">
        <x:v>Saved asset value; overrides fallback</x:v>
      </x:c>
      <x:c r="G105" s="6" t="str">
        <x:v>/Game/HeavensDivide/Upgrades/Samurai/DA_Upgrade_SamuraiCrescentFieldPact</x:v>
      </x:c>
      <x:c r="H105" s="6" t="str">
        <x:v>Source/HeavensDivide/SamuraiAutoAttack.cpp:543
Source/HeavensDivide/SamuraiWaveField.cpp:30</x:v>
      </x:c>
    </x:row>
    <x:row r="106" ht="38" customHeight="1">
      <x:c r="A106" s="6" t="str">
        <x:v>Crescent</x:v>
      </x:c>
      <x:c r="B106" s="6" t="str">
        <x:v>CrescentFieldPact</x:v>
      </x:c>
      <x:c r="C106" s="6" t="str">
        <x:v>WaveDamageMultiplier</x:v>
      </x:c>
      <x:c r="D106" s="20" t="n">
        <x:v>0.8</x:v>
      </x:c>
      <x:c r="E106" s="6" t="str">
        <x:v>ratio / multiplier</x:v>
      </x:c>
      <x:c r="F106" s="6" t="str">
        <x:v>Saved asset value; overrides fallback</x:v>
      </x:c>
      <x:c r="G106" s="6" t="str">
        <x:v>/Game/HeavensDivide/Upgrades/Samurai/DA_Upgrade_SamuraiCrescentFieldPact</x:v>
      </x:c>
      <x:c r="H106" s="6" t="str">
        <x:v>Source/HeavensDivide/SamuraiAutoAttack.cpp:543
Source/HeavensDivide/SamuraiWaveField.cpp:30</x:v>
      </x:c>
    </x:row>
    <x:row r="107" ht="38" customHeight="1">
      <x:c r="A107" s="6" t="str">
        <x:v>Crescent</x:v>
      </x:c>
      <x:c r="B107" s="6" t="str">
        <x:v>CrescentFieldPower</x:v>
      </x:c>
      <x:c r="C107" s="6" t="str">
        <x:v>PerRank</x:v>
      </x:c>
      <x:c r="D107" s="14" t="n">
        <x:v>0.15</x:v>
      </x:c>
      <x:c r="E107" s="6" t="str">
        <x:v>card-specific</x:v>
      </x:c>
      <x:c r="F107" s="6" t="str">
        <x:v>Saved asset value; overrides fallback</x:v>
      </x:c>
      <x:c r="G107" s="6" t="str">
        <x:v>/Game/HeavensDivide/Upgrades/Samurai/DA_Upgrade_SamuraiCrescentFieldPower</x:v>
      </x:c>
      <x:c r="H107" s="6" t="str">
        <x:v>Source/HeavensDivide/SamuraiBladeWave.cpp:182
Source/HeavensDivide/SamuraiWaveField.cpp:24</x:v>
      </x:c>
    </x:row>
    <x:row r="108" ht="38" customHeight="1">
      <x:c r="A108" s="6" t="str">
        <x:v>Crescent</x:v>
      </x:c>
      <x:c r="B108" s="6" t="str">
        <x:v>CrescentPowerPact</x:v>
      </x:c>
      <x:c r="C108" s="6" t="str">
        <x:v>DamageMultiplier</x:v>
      </x:c>
      <x:c r="D108" s="20" t="n">
        <x:v>1.5</x:v>
      </x:c>
      <x:c r="E108" s="6" t="str">
        <x:v>ratio / multiplier</x:v>
      </x:c>
      <x:c r="F108" s="6" t="str">
        <x:v>Saved asset value; overrides fallback</x:v>
      </x:c>
      <x:c r="G108" s="6" t="str">
        <x:v>/Game/HeavensDivide/Upgrades/Samurai/DA_Upgrade_SamuraiCrescentPowerPact</x:v>
      </x:c>
      <x:c r="H108" s="6" t="str">
        <x:v>Source/HeavensDivide/SamuraiAutoAttack.cpp:544</x:v>
      </x:c>
    </x:row>
    <x:row r="109" ht="38" customHeight="1">
      <x:c r="A109" s="6" t="str">
        <x:v>Crescent</x:v>
      </x:c>
      <x:c r="B109" s="6" t="str">
        <x:v>CrescentPowerPact</x:v>
      </x:c>
      <x:c r="C109" s="6" t="str">
        <x:v>SpeedMultiplier</x:v>
      </x:c>
      <x:c r="D109" s="20" t="n">
        <x:v>0.5</x:v>
      </x:c>
      <x:c r="E109" s="6" t="str">
        <x:v>ratio / multiplier</x:v>
      </x:c>
      <x:c r="F109" s="6" t="str">
        <x:v>Saved asset value; overrides fallback</x:v>
      </x:c>
      <x:c r="G109" s="6" t="str">
        <x:v>/Game/HeavensDivide/Upgrades/Samurai/DA_Upgrade_SamuraiCrescentPowerPact</x:v>
      </x:c>
      <x:c r="H109" s="6" t="str">
        <x:v>Source/HeavensDivide/SamuraiAutoAttack.cpp:544</x:v>
      </x:c>
    </x:row>
    <x:row r="110" ht="38" customHeight="1">
      <x:c r="A110" s="6" t="str">
        <x:v>Crescent</x:v>
      </x:c>
      <x:c r="B110" s="6" t="str">
        <x:v>CrescentRange</x:v>
      </x:c>
      <x:c r="C110" s="6" t="str">
        <x:v>PerRank</x:v>
      </x:c>
      <x:c r="D110" s="20" t="n">
        <x:v>0.2</x:v>
      </x:c>
      <x:c r="E110" s="6" t="str">
        <x:v>card-specific</x:v>
      </x:c>
      <x:c r="F110" s="6" t="str">
        <x:v>Saved asset value; overrides fallback</x:v>
      </x:c>
      <x:c r="G110" s="6" t="str">
        <x:v>/Game/HeavensDivide/Upgrades/Samurai/DA_Upgrade_SamuraiCrescentRange</x:v>
      </x:c>
      <x:c r="H110" s="6" t="str">
        <x:v>Source/HeavensDivide/SamuraiAutoAttack.cpp:568
Source/HeavensDivide/AutoAttackComponent.cpp:1316</x:v>
      </x:c>
    </x:row>
    <x:row r="111" ht="30" customHeight="1">
      <x:c r="A111" s="6" t="str">
        <x:v>Crescent</x:v>
      </x:c>
      <x:c r="B111" s="6" t="str">
        <x:v>CrescentSlow</x:v>
      </x:c>
      <x:c r="C111" s="6" t="str">
        <x:v>PerRank</x:v>
      </x:c>
      <x:c r="D111" s="14" t="n">
        <x:v>0.05</x:v>
      </x:c>
      <x:c r="E111" s="6" t="str">
        <x:v>card-specific</x:v>
      </x:c>
      <x:c r="F111" s="6" t="str">
        <x:v>Saved asset value; overrides fallback</x:v>
      </x:c>
      <x:c r="G111" s="6" t="str">
        <x:v>/Game/HeavensDivide/Upgrades/Samurai/DA_Upgrade_SamuraiCrescentSlow</x:v>
      </x:c>
      <x:c r="H111" s="6" t="str">
        <x:v>Source/HeavensDivide/PlayerUpgradeComponent.cpp:46</x:v>
      </x:c>
    </x:row>
    <x:row r="112" ht="30" customHeight="1">
      <x:c r="A112" s="6" t="str">
        <x:v>Crescent</x:v>
      </x:c>
      <x:c r="B112" s="6" t="str">
        <x:v>CrescentSlowDuration</x:v>
      </x:c>
      <x:c r="C112" s="6" t="str">
        <x:v>PerRank</x:v>
      </x:c>
      <x:c r="D112" s="13" t="n">
        <x:v>1</x:v>
      </x:c>
      <x:c r="E112" s="6" t="str">
        <x:v>card-specific</x:v>
      </x:c>
      <x:c r="F112" s="6" t="str">
        <x:v>Saved asset value; overrides fallback</x:v>
      </x:c>
      <x:c r="G112" s="6" t="str">
        <x:v>/Game/HeavensDivide/Upgrades/Samurai/DA_Upgrade_SamuraiCrescentSlowDuration</x:v>
      </x:c>
      <x:c r="H112" s="6" t="str">
        <x:v>Source/HeavensDivide/PlayerUpgradeComponent.cpp:46</x:v>
      </x:c>
    </x:row>
    <x:row r="113" ht="30" customHeight="1">
      <x:c r="A113" s="6" t="str">
        <x:v>Crescent</x:v>
      </x:c>
      <x:c r="B113" s="6" t="str">
        <x:v>CrescentSpeed</x:v>
      </x:c>
      <x:c r="C113" s="6" t="str">
        <x:v>PerRank</x:v>
      </x:c>
      <x:c r="D113" s="20" t="n">
        <x:v>0.2</x:v>
      </x:c>
      <x:c r="E113" s="6" t="str">
        <x:v>card-specific</x:v>
      </x:c>
      <x:c r="F113" s="6" t="str">
        <x:v>Saved asset value; overrides fallback</x:v>
      </x:c>
      <x:c r="G113" s="6" t="str">
        <x:v>/Game/HeavensDivide/Upgrades/Samurai/DA_Upgrade_SamuraiCrescentSpeed</x:v>
      </x:c>
      <x:c r="H113" s="6" t="str">
        <x:v>Source/HeavensDivide/SamuraiAutoAttack.cpp:570</x:v>
      </x:c>
    </x:row>
    <x:row r="114" ht="30" customHeight="1">
      <x:c r="A114" s="6" t="str">
        <x:v>Crescent</x:v>
      </x:c>
      <x:c r="B114" s="6" t="str">
        <x:v>CrescentSplit</x:v>
      </x:c>
      <x:c r="C114" s="6" t="str">
        <x:v>Angle</x:v>
      </x:c>
      <x:c r="D114" s="13" t="n">
        <x:v>90</x:v>
      </x:c>
      <x:c r="E114" s="6" t="str">
        <x:v>degrees</x:v>
      </x:c>
      <x:c r="F114" s="6" t="str">
        <x:v>Saved asset value; overrides fallback</x:v>
      </x:c>
      <x:c r="G114" s="6" t="str">
        <x:v>/Game/HeavensDivide/Upgrades/Samurai/DA_Upgrade_SamuraiCrescentSplit</x:v>
      </x:c>
      <x:c r="H114" s="6" t="str">
        <x:v>Source/HeavensDivide/SamuraiBladeWave.cpp:262</x:v>
      </x:c>
    </x:row>
    <x:row r="115" ht="38" customHeight="1">
      <x:c r="A115" s="6" t="str">
        <x:v>Crescent</x:v>
      </x:c>
      <x:c r="B115" s="6" t="str">
        <x:v>CrescentSplit</x:v>
      </x:c>
      <x:c r="C115" s="6" t="str">
        <x:v>Chance</x:v>
      </x:c>
      <x:c r="D115" s="14" t="n">
        <x:v>0.15</x:v>
      </x:c>
      <x:c r="E115" s="6" t="str">
        <x:v>ratio / multiplier</x:v>
      </x:c>
      <x:c r="F115" s="6" t="str">
        <x:v>Saved asset value; overrides fallback</x:v>
      </x:c>
      <x:c r="G115" s="6" t="str">
        <x:v>/Game/HeavensDivide/Upgrades/Samurai/DA_Upgrade_SamuraiCrescentSplit</x:v>
      </x:c>
      <x:c r="H115" s="6" t="str">
        <x:v>Source/HeavensDivide/SamuraiBladeWave.cpp:262</x:v>
      </x:c>
    </x:row>
    <x:row r="116" ht="38" customHeight="1">
      <x:c r="A116" s="6" t="str">
        <x:v>Crescent</x:v>
      </x:c>
      <x:c r="B116" s="6" t="str">
        <x:v>CrescentSplit</x:v>
      </x:c>
      <x:c r="C116" s="6" t="str">
        <x:v>DamageMultiplier</x:v>
      </x:c>
      <x:c r="D116" s="20" t="n">
        <x:v>0.5</x:v>
      </x:c>
      <x:c r="E116" s="6" t="str">
        <x:v>ratio / multiplier</x:v>
      </x:c>
      <x:c r="F116" s="6" t="str">
        <x:v>Saved asset value; overrides fallback</x:v>
      </x:c>
      <x:c r="G116" s="6" t="str">
        <x:v>/Game/HeavensDivide/Upgrades/Samurai/DA_Upgrade_SamuraiCrescentSplit</x:v>
      </x:c>
      <x:c r="H116" s="6" t="str">
        <x:v>Source/HeavensDivide/SamuraiBladeWave.cpp:262</x:v>
      </x:c>
    </x:row>
    <x:row r="117" ht="38" customHeight="1">
      <x:c r="A117" s="6" t="str">
        <x:v>Crescent</x:v>
      </x:c>
      <x:c r="B117" s="6" t="str">
        <x:v>CrescentSplit</x:v>
      </x:c>
      <x:c r="C117" s="6" t="str">
        <x:v>RangeMultiplier</x:v>
      </x:c>
      <x:c r="D117" s="20" t="n">
        <x:v>0.6</x:v>
      </x:c>
      <x:c r="E117" s="6" t="str">
        <x:v>ratio / multiplier</x:v>
      </x:c>
      <x:c r="F117" s="6" t="str">
        <x:v>Saved asset value; overrides fallback</x:v>
      </x:c>
      <x:c r="G117" s="6" t="str">
        <x:v>/Game/HeavensDivide/Upgrades/Samurai/DA_Upgrade_SamuraiCrescentSplit</x:v>
      </x:c>
      <x:c r="H117" s="6" t="str">
        <x:v>Source/HeavensDivide/SamuraiBladeWave.cpp:262</x:v>
      </x:c>
    </x:row>
    <x:row r="118" ht="38" customHeight="1">
      <x:c r="A118" s="6" t="str">
        <x:v>Crescent</x:v>
      </x:c>
      <x:c r="B118" s="6" t="str">
        <x:v>CrescentSplit</x:v>
      </x:c>
      <x:c r="C118" s="6" t="str">
        <x:v>SizeMultiplier</x:v>
      </x:c>
      <x:c r="D118" s="20" t="n">
        <x:v>0.6</x:v>
      </x:c>
      <x:c r="E118" s="6" t="str">
        <x:v>ratio / multiplier</x:v>
      </x:c>
      <x:c r="F118" s="6" t="str">
        <x:v>Saved asset value; overrides fallback</x:v>
      </x:c>
      <x:c r="G118" s="6" t="str">
        <x:v>/Game/HeavensDivide/Upgrades/Samurai/DA_Upgrade_SamuraiCrescentSplit</x:v>
      </x:c>
      <x:c r="H118" s="6" t="str">
        <x:v>Source/HeavensDivide/SamuraiBladeWave.cpp:262</x:v>
      </x:c>
    </x:row>
    <x:row r="119" ht="30" customHeight="1">
      <x:c r="A119" s="6" t="str">
        <x:v>Crescent</x:v>
      </x:c>
      <x:c r="B119" s="6" t="str">
        <x:v>CrescentSplitChance</x:v>
      </x:c>
      <x:c r="C119" s="6" t="str">
        <x:v>PerRank</x:v>
      </x:c>
      <x:c r="D119" s="20" t="n">
        <x:v>0.1</x:v>
      </x:c>
      <x:c r="E119" s="6" t="str">
        <x:v>card-specific</x:v>
      </x:c>
      <x:c r="F119" s="6" t="str">
        <x:v>Saved asset value; overrides fallback</x:v>
      </x:c>
      <x:c r="G119" s="6" t="str">
        <x:v>/Game/HeavensDivide/Upgrades/Samurai/DA_Upgrade_SamuraiCrescentSplitChance</x:v>
      </x:c>
      <x:c r="H119" s="6" t="str">
        <x:v>Source/HeavensDivide/SamuraiBladeWave.cpp:262</x:v>
      </x:c>
    </x:row>
    <x:row r="120" ht="38" customHeight="1">
      <x:c r="A120" s="6" t="str">
        <x:v>Crescent</x:v>
      </x:c>
      <x:c r="B120" s="6" t="str">
        <x:v>ReturningBlade</x:v>
      </x:c>
      <x:c r="C120" s="6" t="str">
        <x:v>ReturnDamageMultiplier</x:v>
      </x:c>
      <x:c r="D120" s="20" t="n">
        <x:v>0.5</x:v>
      </x:c>
      <x:c r="E120" s="6" t="str">
        <x:v>ratio / multiplier</x:v>
      </x:c>
      <x:c r="F120" s="6" t="str">
        <x:v>Saved asset value; overrides fallback</x:v>
      </x:c>
      <x:c r="G120" s="6" t="str">
        <x:v>/Game/HeavensDivide/Upgrades/Samurai/DA_Upgrade_SamuraiReturningBlade</x:v>
      </x:c>
      <x:c r="H120" s="6" t="str">
        <x:v>Source/HeavensDivide/SamuraiAutoAttack.cpp:545
Source/HeavensDivide/SamuraiBladeWave.cpp:57</x:v>
      </x:c>
    </x:row>
    <x:row r="121" ht="38" customHeight="1">
      <x:c r="A121" s="6" t="str">
        <x:v>Returning Fang</x:v>
      </x:c>
      <x:c r="B121" s="6" t="str">
        <x:v>FangAssist</x:v>
      </x:c>
      <x:c r="C121" s="6" t="str">
        <x:v>Chance</x:v>
      </x:c>
      <x:c r="D121" s="14" t="n">
        <x:v>0.05</x:v>
      </x:c>
      <x:c r="E121" s="6" t="str">
        <x:v>ratio / multiplier</x:v>
      </x:c>
      <x:c r="F121" s="6" t="str">
        <x:v>Saved asset value; overrides fallback</x:v>
      </x:c>
      <x:c r="G121" s="6" t="str">
        <x:v>/Game/HeavensDivide/Upgrades/Ninja/DA_Upgrade_NinjaFangAssist</x:v>
      </x:c>
      <x:c r="H121" s="6" t="str">
        <x:v>Source/HeavensDivide/NinjaFangBuild.cpp:132</x:v>
      </x:c>
    </x:row>
    <x:row r="122" ht="30" customHeight="1">
      <x:c r="A122" s="6" t="str">
        <x:v>Returning Fang</x:v>
      </x:c>
      <x:c r="B122" s="6" t="str">
        <x:v>FangAssist</x:v>
      </x:c>
      <x:c r="C122" s="6" t="str">
        <x:v>Cooldown</x:v>
      </x:c>
      <x:c r="D122" s="13" t="n">
        <x:v>1</x:v>
      </x:c>
      <x:c r="E122" s="6" t="str">
        <x:v>s</x:v>
      </x:c>
      <x:c r="F122" s="6" t="str">
        <x:v>Saved asset value; overrides fallback</x:v>
      </x:c>
      <x:c r="G122" s="6" t="str">
        <x:v>/Game/HeavensDivide/Upgrades/Ninja/DA_Upgrade_NinjaFangAssist</x:v>
      </x:c>
      <x:c r="H122" s="6" t="str">
        <x:v>Source/HeavensDivide/NinjaFangBuild.cpp:132</x:v>
      </x:c>
    </x:row>
    <x:row r="123" ht="30" customHeight="1">
      <x:c r="A123" s="6" t="str">
        <x:v>Returning Fang</x:v>
      </x:c>
      <x:c r="B123" s="6" t="str">
        <x:v>FangAssistChance</x:v>
      </x:c>
      <x:c r="C123" s="6" t="str">
        <x:v>PerRank</x:v>
      </x:c>
      <x:c r="D123" s="14" t="n">
        <x:v>0.05</x:v>
      </x:c>
      <x:c r="E123" s="6" t="str">
        <x:v>card-specific</x:v>
      </x:c>
      <x:c r="F123" s="6" t="str">
        <x:v>Saved asset value; overrides fallback</x:v>
      </x:c>
      <x:c r="G123" s="6" t="str">
        <x:v>/Game/HeavensDivide/Upgrades/Ninja/DA_Upgrade_NinjaFangAssistChance</x:v>
      </x:c>
      <x:c r="H123" s="6" t="str">
        <x:v>Source/HeavensDivide/NinjaFangBuild.cpp:134</x:v>
      </x:c>
    </x:row>
    <x:row r="124" ht="30" customHeight="1">
      <x:c r="A124" s="6" t="str">
        <x:v>Returning Fang</x:v>
      </x:c>
      <x:c r="B124" s="6" t="str">
        <x:v>FangBurstPower</x:v>
      </x:c>
      <x:c r="C124" s="6" t="str">
        <x:v>PerRank</x:v>
      </x:c>
      <x:c r="D124" s="20" t="n">
        <x:v>0.2</x:v>
      </x:c>
      <x:c r="E124" s="6" t="str">
        <x:v>card-specific</x:v>
      </x:c>
      <x:c r="F124" s="6" t="str">
        <x:v>Saved asset value; overrides fallback</x:v>
      </x:c>
      <x:c r="G124" s="6" t="str">
        <x:v>/Game/HeavensDivide/Upgrades/Ninja/DA_Upgrade_NinjaFangBurstPower</x:v>
      </x:c>
      <x:c r="H124" s="6" t="str">
        <x:v>Source/HeavensDivide/NinjaFangBuild.cpp:124</x:v>
      </x:c>
    </x:row>
    <x:row r="125" ht="30" customHeight="1">
      <x:c r="A125" s="6" t="str">
        <x:v>Returning Fang</x:v>
      </x:c>
      <x:c r="B125" s="6" t="str">
        <x:v>FangCloseQuarters</x:v>
      </x:c>
      <x:c r="C125" s="6" t="str">
        <x:v>PerRank</x:v>
      </x:c>
      <x:c r="D125" s="20" t="n">
        <x:v>0.1</x:v>
      </x:c>
      <x:c r="E125" s="6" t="str">
        <x:v>card-specific</x:v>
      </x:c>
      <x:c r="F125" s="6" t="str">
        <x:v>Bypassed by accumulated rarity magnitudes</x:v>
      </x:c>
      <x:c r="G125" s="6" t="str">
        <x:v>/Game/HeavensDivide/Upgrades/Ninja/DA_Upgrade_NinjaFangCloseQuarters</x:v>
      </x:c>
      <x:c r="H125" s="6" t="str">
        <x:v>Source/HeavensDivide/NinjaFangBuild.cpp:82</x:v>
      </x:c>
    </x:row>
    <x:row r="126" ht="30" customHeight="1">
      <x:c r="A126" s="6" t="str">
        <x:v>Returning Fang</x:v>
      </x:c>
      <x:c r="B126" s="6" t="str">
        <x:v>FangCloseQuarters</x:v>
      </x:c>
      <x:c r="C126" s="6" t="str">
        <x:v>Radius</x:v>
      </x:c>
      <x:c r="D126" s="13" t="n">
        <x:v>300</x:v>
      </x:c>
      <x:c r="E126" s="6" t="str">
        <x:v>cm</x:v>
      </x:c>
      <x:c r="F126" s="6" t="str">
        <x:v>Saved asset value; overrides fallback</x:v>
      </x:c>
      <x:c r="G126" s="6" t="str">
        <x:v>/Game/HeavensDivide/Upgrades/Ninja/DA_Upgrade_NinjaFangCloseQuarters</x:v>
      </x:c>
      <x:c r="H126" s="6" t="str">
        <x:v>Source/HeavensDivide/NinjaFangBuild.cpp:82</x:v>
      </x:c>
    </x:row>
    <x:row r="127" ht="30" customHeight="1">
      <x:c r="A127" s="6" t="str">
        <x:v>Returning Fang</x:v>
      </x:c>
      <x:c r="B127" s="6" t="str">
        <x:v>FangCriticalChance</x:v>
      </x:c>
      <x:c r="C127" s="6" t="str">
        <x:v>PerRank</x:v>
      </x:c>
      <x:c r="D127" s="20" t="n">
        <x:v>0.1</x:v>
      </x:c>
      <x:c r="E127" s="6" t="str">
        <x:v>card-specific</x:v>
      </x:c>
      <x:c r="F127" s="6" t="str">
        <x:v>Saved asset value; overrides fallback</x:v>
      </x:c>
      <x:c r="G127" s="6" t="str">
        <x:v>/Game/HeavensDivide/Upgrades/Ninja/DA_Upgrade_NinjaFangCriticalChance</x:v>
      </x:c>
      <x:c r="H127" s="6" t="str">
        <x:v>Source/HeavensDivide/NinjaFangBuild.cpp:90</x:v>
      </x:c>
    </x:row>
    <x:row r="128" ht="30" customHeight="1">
      <x:c r="A128" s="6" t="str">
        <x:v>Returning Fang</x:v>
      </x:c>
      <x:c r="B128" s="6" t="str">
        <x:v>FangDamage</x:v>
      </x:c>
      <x:c r="C128" s="6" t="str">
        <x:v>PerRank</x:v>
      </x:c>
      <x:c r="D128" s="20" t="n">
        <x:v>0.2</x:v>
      </x:c>
      <x:c r="E128" s="6" t="str">
        <x:v>card-specific</x:v>
      </x:c>
      <x:c r="F128" s="6" t="str">
        <x:v>Bypassed by accumulated rarity magnitudes</x:v>
      </x:c>
      <x:c r="G128" s="6" t="str">
        <x:v>/Game/HeavensDivide/Upgrades/Ninja/DA_Upgrade_NinjaFangDamage</x:v>
      </x:c>
      <x:c r="H128" s="6" t="str">
        <x:v>Source/HeavensDivide/AutoAttackComponent.cpp:1265</x:v>
      </x:c>
    </x:row>
    <x:row r="129" ht="38" customHeight="1">
      <x:c r="A129" s="6" t="str">
        <x:v>Returning Fang</x:v>
      </x:c>
      <x:c r="B129" s="6" t="str">
        <x:v>FangDeadeye</x:v>
      </x:c>
      <x:c r="C129" s="6" t="str">
        <x:v>Chance</x:v>
      </x:c>
      <x:c r="D129" s="14" t="n">
        <x:v>0.15</x:v>
      </x:c>
      <x:c r="E129" s="6" t="str">
        <x:v>ratio / multiplier</x:v>
      </x:c>
      <x:c r="F129" s="6" t="str">
        <x:v>Saved asset value; overrides fallback</x:v>
      </x:c>
      <x:c r="G129" s="6" t="str">
        <x:v>/Game/HeavensDivide/Upgrades/Ninja/DA_Upgrade_NinjaFangDeadeye</x:v>
      </x:c>
      <x:c r="H129" s="6" t="str">
        <x:v>Source/HeavensDivide/NinjaFangBuild.cpp:88</x:v>
      </x:c>
    </x:row>
    <x:row r="130" ht="38" customHeight="1">
      <x:c r="A130" s="6" t="str">
        <x:v>Returning Fang</x:v>
      </x:c>
      <x:c r="B130" s="6" t="str">
        <x:v>FangDeadeye</x:v>
      </x:c>
      <x:c r="C130" s="6" t="str">
        <x:v>DamageMultiplier</x:v>
      </x:c>
      <x:c r="D130" s="13" t="n">
        <x:v>2</x:v>
      </x:c>
      <x:c r="E130" s="6" t="str">
        <x:v>ratio / multiplier</x:v>
      </x:c>
      <x:c r="F130" s="6" t="str">
        <x:v>Saved asset value; overrides fallback</x:v>
      </x:c>
      <x:c r="G130" s="6" t="str">
        <x:v>/Game/HeavensDivide/Upgrades/Ninja/DA_Upgrade_NinjaFangDeadeye</x:v>
      </x:c>
      <x:c r="H130" s="6" t="str">
        <x:v>Source/HeavensDivide/NinjaFangBuild.cpp:88</x:v>
      </x:c>
    </x:row>
    <x:row r="131" ht="30" customHeight="1">
      <x:c r="A131" s="6" t="str">
        <x:v>Returning Fang</x:v>
      </x:c>
      <x:c r="B131" s="6" t="str">
        <x:v>FangFarstrider</x:v>
      </x:c>
      <x:c r="C131" s="6" t="str">
        <x:v>DistanceForMaximum</x:v>
      </x:c>
      <x:c r="D131" s="13" t="n">
        <x:v>1000</x:v>
      </x:c>
      <x:c r="E131" s="6" t="str">
        <x:v>cm</x:v>
      </x:c>
      <x:c r="F131" s="6" t="str">
        <x:v>Saved asset value; overrides fallback</x:v>
      </x:c>
      <x:c r="G131" s="6" t="str">
        <x:v>/Game/HeavensDivide/Upgrades/Ninja/DA_Upgrade_NinjaFangFarstrider</x:v>
      </x:c>
      <x:c r="H131" s="6" t="str">
        <x:v>Source/HeavensDivide/NinjaFangBuild.cpp:28</x:v>
      </x:c>
    </x:row>
    <x:row r="132" ht="38" customHeight="1">
      <x:c r="A132" s="6" t="str">
        <x:v>Returning Fang</x:v>
      </x:c>
      <x:c r="B132" s="6" t="str">
        <x:v>FangFarstrider</x:v>
      </x:c>
      <x:c r="C132" s="6" t="str">
        <x:v>MaxDamageBonus</x:v>
      </x:c>
      <x:c r="D132" s="13" t="n">
        <x:v>2</x:v>
      </x:c>
      <x:c r="E132" s="6" t="str">
        <x:v>ratio / multiplier</x:v>
      </x:c>
      <x:c r="F132" s="6" t="str">
        <x:v>Saved asset value; overrides fallback</x:v>
      </x:c>
      <x:c r="G132" s="6" t="str">
        <x:v>/Game/HeavensDivide/Upgrades/Ninja/DA_Upgrade_NinjaFangFarstrider</x:v>
      </x:c>
      <x:c r="H132" s="6" t="str">
        <x:v>Source/HeavensDivide/NinjaFangBuild.cpp:28</x:v>
      </x:c>
    </x:row>
    <x:row r="133" ht="38" customHeight="1">
      <x:c r="A133" s="6" t="str">
        <x:v>Returning Fang</x:v>
      </x:c>
      <x:c r="B133" s="6" t="str">
        <x:v>FangFarstrider</x:v>
      </x:c>
      <x:c r="C133" s="6" t="str">
        <x:v>SpeedMultiplier</x:v>
      </x:c>
      <x:c r="D133" s="14" t="n">
        <x:v>0.75</x:v>
      </x:c>
      <x:c r="E133" s="6" t="str">
        <x:v>ratio / multiplier</x:v>
      </x:c>
      <x:c r="F133" s="6" t="str">
        <x:v>Saved asset value; overrides fallback</x:v>
      </x:c>
      <x:c r="G133" s="6" t="str">
        <x:v>/Game/HeavensDivide/Upgrades/Ninja/DA_Upgrade_NinjaFangFarstrider</x:v>
      </x:c>
      <x:c r="H133" s="6" t="str">
        <x:v>Source/HeavensDivide/NinjaFangBuild.cpp:28</x:v>
      </x:c>
    </x:row>
    <x:row r="134" ht="30" customHeight="1">
      <x:c r="A134" s="6" t="str">
        <x:v>Returning Fang</x:v>
      </x:c>
      <x:c r="B134" s="6" t="str">
        <x:v>FangKillingEdge</x:v>
      </x:c>
      <x:c r="C134" s="6" t="str">
        <x:v>AdditionalTargets</x:v>
      </x:c>
      <x:c r="D134" s="13" t="n">
        <x:v>2</x:v>
      </x:c>
      <x:c r="E134" s="6" t="str">
        <x:v>count / cadence</x:v>
      </x:c>
      <x:c r="F134" s="6" t="str">
        <x:v>Saved asset value; overrides fallback</x:v>
      </x:c>
      <x:c r="G134" s="6" t="str">
        <x:v>/Game/HeavensDivide/Upgrades/Ninja/DA_Upgrade_NinjaFangKillingEdge</x:v>
      </x:c>
      <x:c r="H134" s="6" t="str">
        <x:v>Source/HeavensDivide/NinjaBuildProjectile.cpp:191</x:v>
      </x:c>
    </x:row>
    <x:row r="135" ht="38" customHeight="1">
      <x:c r="A135" s="6" t="str">
        <x:v>Returning Fang</x:v>
      </x:c>
      <x:c r="B135" s="6" t="str">
        <x:v>FangKillingEdge</x:v>
      </x:c>
      <x:c r="C135" s="6" t="str">
        <x:v>Chance</x:v>
      </x:c>
      <x:c r="D135" s="14" t="n">
        <x:v>0.15</x:v>
      </x:c>
      <x:c r="E135" s="6" t="str">
        <x:v>ratio / multiplier</x:v>
      </x:c>
      <x:c r="F135" s="6" t="str">
        <x:v>Saved asset value; overrides fallback</x:v>
      </x:c>
      <x:c r="G135" s="6" t="str">
        <x:v>/Game/HeavensDivide/Upgrades/Ninja/DA_Upgrade_NinjaFangKillingEdge</x:v>
      </x:c>
      <x:c r="H135" s="6" t="str">
        <x:v>Source/HeavensDivide/NinjaBuildProjectile.cpp:191</x:v>
      </x:c>
    </x:row>
    <x:row r="136" ht="38" customHeight="1">
      <x:c r="A136" s="6" t="str">
        <x:v>Returning Fang</x:v>
      </x:c>
      <x:c r="B136" s="6" t="str">
        <x:v>FangPredator</x:v>
      </x:c>
      <x:c r="C136" s="6" t="str">
        <x:v>CriticalMultiplier</x:v>
      </x:c>
      <x:c r="D136" s="20" t="n">
        <x:v>1.5</x:v>
      </x:c>
      <x:c r="E136" s="6" t="str">
        <x:v>ratio / multiplier</x:v>
      </x:c>
      <x:c r="F136" s="6" t="str">
        <x:v>Saved asset value; overrides fallback</x:v>
      </x:c>
      <x:c r="G136" s="6" t="str">
        <x:v>/Game/HeavensDivide/Upgrades/Ninja/DA_Upgrade_NinjaFangPredator</x:v>
      </x:c>
      <x:c r="H136" s="6" t="str">
        <x:v>Source/HeavensDivide/NinjaFangBuild.cpp:92</x:v>
      </x:c>
    </x:row>
    <x:row r="137" ht="38" customHeight="1">
      <x:c r="A137" s="6" t="str">
        <x:v>Returning Fang</x:v>
      </x:c>
      <x:c r="B137" s="6" t="str">
        <x:v>FangPredator</x:v>
      </x:c>
      <x:c r="C137" s="6" t="str">
        <x:v>NoncriticalMultiplier</x:v>
      </x:c>
      <x:c r="D137" s="14" t="n">
        <x:v>0.85</x:v>
      </x:c>
      <x:c r="E137" s="6" t="str">
        <x:v>ratio / multiplier</x:v>
      </x:c>
      <x:c r="F137" s="6" t="str">
        <x:v>Saved asset value; overrides fallback</x:v>
      </x:c>
      <x:c r="G137" s="6" t="str">
        <x:v>/Game/HeavensDivide/Upgrades/Ninja/DA_Upgrade_NinjaFangPredator</x:v>
      </x:c>
      <x:c r="H137" s="6" t="str">
        <x:v>Source/HeavensDivide/NinjaFangBuild.cpp:92</x:v>
      </x:c>
    </x:row>
    <x:row r="138" ht="30" customHeight="1">
      <x:c r="A138" s="6" t="str">
        <x:v>Returning Fang</x:v>
      </x:c>
      <x:c r="B138" s="6" t="str">
        <x:v>FangPressure</x:v>
      </x:c>
      <x:c r="C138" s="6" t="str">
        <x:v>PerRank</x:v>
      </x:c>
      <x:c r="D138" s="20" t="n">
        <x:v>0.2</x:v>
      </x:c>
      <x:c r="E138" s="6" t="str">
        <x:v>card-specific</x:v>
      </x:c>
      <x:c r="F138" s="6" t="str">
        <x:v>Saved asset value; overrides fallback</x:v>
      </x:c>
      <x:c r="G138" s="6" t="str">
        <x:v>/Game/HeavensDivide/Upgrades/Ninja/DA_Upgrade_NinjaFangPressure</x:v>
      </x:c>
      <x:c r="H138" s="6" t="str">
        <x:v>Source/HeavensDivide/NinjaFangBuild.cpp:76</x:v>
      </x:c>
    </x:row>
    <x:row r="139" ht="30" customHeight="1">
      <x:c r="A139" s="6" t="str">
        <x:v>Returning Fang</x:v>
      </x:c>
      <x:c r="B139" s="6" t="str">
        <x:v>FangPursuitChance</x:v>
      </x:c>
      <x:c r="C139" s="6" t="str">
        <x:v>PerRank</x:v>
      </x:c>
      <x:c r="D139" s="20" t="n">
        <x:v>0.1</x:v>
      </x:c>
      <x:c r="E139" s="6" t="str">
        <x:v>card-specific</x:v>
      </x:c>
      <x:c r="F139" s="6" t="str">
        <x:v>Saved asset value; overrides fallback</x:v>
      </x:c>
      <x:c r="G139" s="6" t="str">
        <x:v>/Game/HeavensDivide/Upgrades/Ninja/DA_Upgrade_NinjaFangPursuitChance</x:v>
      </x:c>
      <x:c r="H139" s="6" t="str">
        <x:v>Source/HeavensDivide/NinjaBuildProjectile.cpp:195</x:v>
      </x:c>
    </x:row>
    <x:row r="140" ht="30" customHeight="1">
      <x:c r="A140" s="6" t="str">
        <x:v>Returning Fang</x:v>
      </x:c>
      <x:c r="B140" s="6" t="str">
        <x:v>FangRange</x:v>
      </x:c>
      <x:c r="C140" s="6" t="str">
        <x:v>PerRank</x:v>
      </x:c>
      <x:c r="D140" s="14" t="n">
        <x:v>0.15</x:v>
      </x:c>
      <x:c r="E140" s="6" t="str">
        <x:v>card-specific</x:v>
      </x:c>
      <x:c r="F140" s="6" t="str">
        <x:v>Bypassed by accumulated rarity magnitudes</x:v>
      </x:c>
      <x:c r="G140" s="6" t="str">
        <x:v>/Game/HeavensDivide/Upgrades/Ninja/DA_Upgrade_NinjaFangRange</x:v>
      </x:c>
      <x:c r="H140" s="6" t="str">
        <x:v>Source/HeavensDivide/AutoAttackComponent.cpp:1329</x:v>
      </x:c>
    </x:row>
    <x:row r="141" ht="38" customHeight="1">
      <x:c r="A141" s="6" t="str">
        <x:v>Returning Fang</x:v>
      </x:c>
      <x:c r="B141" s="6" t="str">
        <x:v>FangRedline</x:v>
      </x:c>
      <x:c r="C141" s="6" t="str">
        <x:v>DamageMultiplier</x:v>
      </x:c>
      <x:c r="D141" s="20" t="n">
        <x:v>0.7</x:v>
      </x:c>
      <x:c r="E141" s="6" t="str">
        <x:v>ratio / multiplier</x:v>
      </x:c>
      <x:c r="F141" s="6" t="str">
        <x:v>Saved asset value; overrides fallback</x:v>
      </x:c>
      <x:c r="G141" s="6" t="str">
        <x:v>/Game/HeavensDivide/Upgrades/Ninja/DA_Upgrade_NinjaFangRedline</x:v>
      </x:c>
      <x:c r="H141" s="6" t="str">
        <x:v>Source/HeavensDivide/NinjaFangBuild.cpp:22</x:v>
      </x:c>
    </x:row>
    <x:row r="142" ht="38" customHeight="1">
      <x:c r="A142" s="6" t="str">
        <x:v>Returning Fang</x:v>
      </x:c>
      <x:c r="B142" s="6" t="str">
        <x:v>FangRedline</x:v>
      </x:c>
      <x:c r="C142" s="6" t="str">
        <x:v>SpeedMultiplier</x:v>
      </x:c>
      <x:c r="D142" s="20" t="n">
        <x:v>1.6</x:v>
      </x:c>
      <x:c r="E142" s="6" t="str">
        <x:v>ratio / multiplier</x:v>
      </x:c>
      <x:c r="F142" s="6" t="str">
        <x:v>Saved asset value; overrides fallback</x:v>
      </x:c>
      <x:c r="G142" s="6" t="str">
        <x:v>/Game/HeavensDivide/Upgrades/Ninja/DA_Upgrade_NinjaFangRedline</x:v>
      </x:c>
      <x:c r="H142" s="6" t="str">
        <x:v>Source/HeavensDivide/NinjaFangBuild.cpp:22</x:v>
      </x:c>
    </x:row>
    <x:row r="143" ht="38" customHeight="1">
      <x:c r="A143" s="6" t="str">
        <x:v>Returning Fang</x:v>
      </x:c>
      <x:c r="B143" s="6" t="str">
        <x:v>FangResonance</x:v>
      </x:c>
      <x:c r="C143" s="6" t="str">
        <x:v>DamageFraction</x:v>
      </x:c>
      <x:c r="D143" s="20" t="n">
        <x:v>0.5</x:v>
      </x:c>
      <x:c r="E143" s="6" t="str">
        <x:v>ratio / multiplier</x:v>
      </x:c>
      <x:c r="F143" s="6" t="str">
        <x:v>Saved asset value; overrides fallback</x:v>
      </x:c>
      <x:c r="G143" s="6" t="str">
        <x:v>/Game/HeavensDivide/Upgrades/Ninja/DA_Upgrade_NinjaFangResonance</x:v>
      </x:c>
      <x:c r="H143" s="6" t="str">
        <x:v>Source/HeavensDivide/NinjaFangBuild.cpp:117</x:v>
      </x:c>
    </x:row>
    <x:row r="144" ht="30" customHeight="1">
      <x:c r="A144" s="6" t="str">
        <x:v>Returning Fang</x:v>
      </x:c>
      <x:c r="B144" s="6" t="str">
        <x:v>FangResonance</x:v>
      </x:c>
      <x:c r="C144" s="6" t="str">
        <x:v>Radius</x:v>
      </x:c>
      <x:c r="D144" s="13" t="n">
        <x:v>250</x:v>
      </x:c>
      <x:c r="E144" s="6" t="str">
        <x:v>cm</x:v>
      </x:c>
      <x:c r="F144" s="6" t="str">
        <x:v>Saved asset value; overrides fallback</x:v>
      </x:c>
      <x:c r="G144" s="6" t="str">
        <x:v>/Game/HeavensDivide/Upgrades/Ninja/DA_Upgrade_NinjaFangResonance</x:v>
      </x:c>
      <x:c r="H144" s="6" t="str">
        <x:v>Source/HeavensDivide/NinjaFangBuild.cpp:117</x:v>
      </x:c>
    </x:row>
    <x:row r="145" ht="30" customHeight="1">
      <x:c r="A145" s="6" t="str">
        <x:v>Returning Fang</x:v>
      </x:c>
      <x:c r="B145" s="6" t="str">
        <x:v>FangResonantReach</x:v>
      </x:c>
      <x:c r="C145" s="6" t="str">
        <x:v>PerRank</x:v>
      </x:c>
      <x:c r="D145" s="14" t="n">
        <x:v>0.15</x:v>
      </x:c>
      <x:c r="E145" s="6" t="str">
        <x:v>card-specific</x:v>
      </x:c>
      <x:c r="F145" s="6" t="str">
        <x:v>Saved asset value; overrides fallback</x:v>
      </x:c>
      <x:c r="G145" s="6" t="str">
        <x:v>/Game/HeavensDivide/Upgrades/Ninja/DA_Upgrade_NinjaFangResonantReach</x:v>
      </x:c>
      <x:c r="H145" s="6" t="str">
        <x:v>Source/HeavensDivide/NinjaFangBuild.cpp:122</x:v>
      </x:c>
    </x:row>
    <x:row r="146" ht="30" customHeight="1">
      <x:c r="A146" s="6" t="str">
        <x:v>Returning Fang</x:v>
      </x:c>
      <x:c r="B146" s="6" t="str">
        <x:v>FangSpeed</x:v>
      </x:c>
      <x:c r="C146" s="6" t="str">
        <x:v>PerRank</x:v>
      </x:c>
      <x:c r="D146" s="14" t="n">
        <x:v>0.15</x:v>
      </x:c>
      <x:c r="E146" s="6" t="str">
        <x:v>card-specific</x:v>
      </x:c>
      <x:c r="F146" s="6" t="str">
        <x:v>Bypassed by accumulated rarity magnitudes</x:v>
      </x:c>
      <x:c r="G146" s="6" t="str">
        <x:v>/Game/HeavensDivide/Upgrades/Ninja/DA_Upgrade_NinjaFangSpeed</x:v>
      </x:c>
      <x:c r="H146" s="6" t="str">
        <x:v>Source/HeavensDivide/NinjaFangBuild.cpp:27</x:v>
      </x:c>
    </x:row>
    <x:row r="147" ht="38" customHeight="1">
      <x:c r="A147" s="6" t="str">
        <x:v>Returning Fang</x:v>
      </x:c>
      <x:c r="B147" s="6" t="str">
        <x:v>FangSplinter</x:v>
      </x:c>
      <x:c r="C147" s="6" t="str">
        <x:v>DamageFraction</x:v>
      </x:c>
      <x:c r="D147" s="20" t="n">
        <x:v>0.4</x:v>
      </x:c>
      <x:c r="E147" s="6" t="str">
        <x:v>ratio / multiplier</x:v>
      </x:c>
      <x:c r="F147" s="6" t="str">
        <x:v>Saved asset value; overrides fallback</x:v>
      </x:c>
      <x:c r="G147" s="6" t="str">
        <x:v>/Game/HeavensDivide/Upgrades/Ninja/DA_Upgrade_NinjaFangSplinter</x:v>
      </x:c>
      <x:c r="H147" s="6" t="str">
        <x:v>Source/HeavensDivide/NinjaFangBuild.cpp:105
Source/HeavensDivide/NinjaBuildProjectile.cpp:214</x:v>
      </x:c>
    </x:row>
    <x:row r="148" ht="38" customHeight="1">
      <x:c r="A148" s="6" t="str">
        <x:v>Returning Fang</x:v>
      </x:c>
      <x:c r="B148" s="6" t="str">
        <x:v>FangSplinter</x:v>
      </x:c>
      <x:c r="C148" s="6" t="str">
        <x:v>Lifetime</x:v>
      </x:c>
      <x:c r="D148" s="13" t="n">
        <x:v>2</x:v>
      </x:c>
      <x:c r="E148" s="6" t="str">
        <x:v>raw numeric</x:v>
      </x:c>
      <x:c r="F148" s="6" t="str">
        <x:v>Saved asset value; overrides fallback</x:v>
      </x:c>
      <x:c r="G148" s="6" t="str">
        <x:v>/Game/HeavensDivide/Upgrades/Ninja/DA_Upgrade_NinjaFangSplinter</x:v>
      </x:c>
      <x:c r="H148" s="6" t="str">
        <x:v>Source/HeavensDivide/NinjaFangBuild.cpp:105
Source/HeavensDivide/NinjaBuildProjectile.cpp:214</x:v>
      </x:c>
    </x:row>
    <x:row r="149" ht="38" customHeight="1">
      <x:c r="A149" s="6" t="str">
        <x:v>Returning Fang</x:v>
      </x:c>
      <x:c r="B149" s="6" t="str">
        <x:v>FangSplinter</x:v>
      </x:c>
      <x:c r="C149" s="6" t="str">
        <x:v>ProjectileSpeed</x:v>
      </x:c>
      <x:c r="D149" s="13" t="n">
        <x:v>1400</x:v>
      </x:c>
      <x:c r="E149" s="6" t="str">
        <x:v>cm/s</x:v>
      </x:c>
      <x:c r="F149" s="6" t="str">
        <x:v>Saved asset value; overrides fallback</x:v>
      </x:c>
      <x:c r="G149" s="6" t="str">
        <x:v>/Game/HeavensDivide/Upgrades/Ninja/DA_Upgrade_NinjaFangSplinter</x:v>
      </x:c>
      <x:c r="H149" s="6" t="str">
        <x:v>Source/HeavensDivide/NinjaFangBuild.cpp:105
Source/HeavensDivide/NinjaBuildProjectile.cpp:214</x:v>
      </x:c>
    </x:row>
    <x:row r="150" ht="38" customHeight="1">
      <x:c r="A150" s="6" t="str">
        <x:v>Returning Fang</x:v>
      </x:c>
      <x:c r="B150" s="6" t="str">
        <x:v>FangSplinter</x:v>
      </x:c>
      <x:c r="C150" s="6" t="str">
        <x:v>Range</x:v>
      </x:c>
      <x:c r="D150" s="13" t="n">
        <x:v>700</x:v>
      </x:c>
      <x:c r="E150" s="6" t="str">
        <x:v>cm</x:v>
      </x:c>
      <x:c r="F150" s="6" t="str">
        <x:v>Saved asset value; overrides fallback</x:v>
      </x:c>
      <x:c r="G150" s="6" t="str">
        <x:v>/Game/HeavensDivide/Upgrades/Ninja/DA_Upgrade_NinjaFangSplinter</x:v>
      </x:c>
      <x:c r="H150" s="6" t="str">
        <x:v>Source/HeavensDivide/NinjaFangBuild.cpp:105
Source/HeavensDivide/NinjaBuildProjectile.cpp:214</x:v>
      </x:c>
    </x:row>
    <x:row r="151" ht="30" customHeight="1">
      <x:c r="A151" s="6" t="str">
        <x:v>Returning Fang</x:v>
      </x:c>
      <x:c r="B151" s="6" t="str">
        <x:v>FangSplinterPower</x:v>
      </x:c>
      <x:c r="C151" s="6" t="str">
        <x:v>PerRank</x:v>
      </x:c>
      <x:c r="D151" s="20" t="n">
        <x:v>0.2</x:v>
      </x:c>
      <x:c r="E151" s="6" t="str">
        <x:v>card-specific</x:v>
      </x:c>
      <x:c r="F151" s="6" t="str">
        <x:v>Saved asset value; overrides fallback</x:v>
      </x:c>
      <x:c r="G151" s="6" t="str">
        <x:v>/Game/HeavensDivide/Upgrades/Ninja/DA_Upgrade_NinjaFangSplinterPower</x:v>
      </x:c>
      <x:c r="H151" s="6" t="str">
        <x:v>Source/HeavensDivide/NinjaFangBuild.cpp:107</x:v>
      </x:c>
    </x:row>
    <x:row r="152" ht="30" customHeight="1">
      <x:c r="A152" s="6" t="str">
        <x:v>Returning Fang</x:v>
      </x:c>
      <x:c r="B152" s="6" t="str">
        <x:v>FangTwin</x:v>
      </x:c>
      <x:c r="C152" s="6" t="str">
        <x:v>ExtraBlades</x:v>
      </x:c>
      <x:c r="D152" s="13" t="n">
        <x:v>1</x:v>
      </x:c>
      <x:c r="E152" s="6" t="str">
        <x:v>count / cadence</x:v>
      </x:c>
      <x:c r="F152" s="6" t="str">
        <x:v>Saved asset value; overrides fallback</x:v>
      </x:c>
      <x:c r="G152" s="6" t="str">
        <x:v>/Game/HeavensDivide/Upgrades/Ninja/DA_Upgrade_NinjaFangTwin</x:v>
      </x:c>
      <x:c r="H152" s="6" t="str">
        <x:v>Source/HeavensDivide/NinjaFangBuild.cpp:36</x:v>
      </x:c>
    </x:row>
    <x:row r="153" ht="30" customHeight="1">
      <x:c r="A153" s="6" t="str">
        <x:v>Returning Fang</x:v>
      </x:c>
      <x:c r="B153" s="6" t="str">
        <x:v>FangTwin</x:v>
      </x:c>
      <x:c r="C153" s="6" t="str">
        <x:v>Frequency</x:v>
      </x:c>
      <x:c r="D153" s="13" t="n">
        <x:v>4</x:v>
      </x:c>
      <x:c r="E153" s="6" t="str">
        <x:v>count / cadence</x:v>
      </x:c>
      <x:c r="F153" s="6" t="str">
        <x:v>Saved asset value; overrides fallback</x:v>
      </x:c>
      <x:c r="G153" s="6" t="str">
        <x:v>/Game/HeavensDivide/Upgrades/Ninja/DA_Upgrade_NinjaFangTwin</x:v>
      </x:c>
      <x:c r="H153" s="6" t="str">
        <x:v>Source/HeavensDivide/NinjaFangBuild.cpp:36</x:v>
      </x:c>
    </x:row>
    <x:row r="154" ht="30" customHeight="1">
      <x:c r="A154" s="6" t="str">
        <x:v>Returning Fang</x:v>
      </x:c>
      <x:c r="B154" s="6" t="str">
        <x:v>FangTwinFrequency</x:v>
      </x:c>
      <x:c r="C154" s="6" t="str">
        <x:v>PerRank</x:v>
      </x:c>
      <x:c r="D154" s="13" t="n">
        <x:v>1</x:v>
      </x:c>
      <x:c r="E154" s="6" t="str">
        <x:v>card-specific</x:v>
      </x:c>
      <x:c r="F154" s="6" t="str">
        <x:v>Saved asset value; overrides fallback</x:v>
      </x:c>
      <x:c r="G154" s="6" t="str">
        <x:v>/Game/HeavensDivide/Upgrades/Ninja/DA_Upgrade_NinjaFangTwinFrequency</x:v>
      </x:c>
      <x:c r="H154" s="6" t="str">
        <x:v>Source/HeavensDivide/NinjaFangBuild.cpp:36</x:v>
      </x:c>
    </x:row>
    <x:row r="155" ht="38" customHeight="1">
      <x:c r="A155" s="6" t="str">
        <x:v>Returning Fang</x:v>
      </x:c>
      <x:c r="B155" s="6" t="str">
        <x:v>RelentlessFang</x:v>
      </x:c>
      <x:c r="C155" s="6" t="str">
        <x:v>DamagePerHit</x:v>
      </x:c>
      <x:c r="D155" s="14" t="n">
        <x:v>0.15</x:v>
      </x:c>
      <x:c r="E155" s="6" t="str">
        <x:v>ratio / multiplier</x:v>
      </x:c>
      <x:c r="F155" s="6" t="str">
        <x:v>Saved asset value; overrides fallback</x:v>
      </x:c>
      <x:c r="G155" s="6" t="str">
        <x:v>/Game/HeavensDivide/Upgrades/Ninja/DA_Upgrade_NinjaRelentlessFang</x:v>
      </x:c>
      <x:c r="H155" s="6" t="str">
        <x:v>Source/HeavensDivide/NinjaFangBuild.cpp:74</x:v>
      </x:c>
    </x:row>
    <x:row r="156" ht="38" customHeight="1">
      <x:c r="A156" s="6" t="str">
        <x:v>Returning Fang</x:v>
      </x:c>
      <x:c r="B156" s="6" t="str">
        <x:v>RelentlessFang</x:v>
      </x:c>
      <x:c r="C156" s="6" t="str">
        <x:v>MaxBonus</x:v>
      </x:c>
      <x:c r="D156" s="14" t="n">
        <x:v>0.75</x:v>
      </x:c>
      <x:c r="E156" s="6" t="str">
        <x:v>ratio / multiplier</x:v>
      </x:c>
      <x:c r="F156" s="6" t="str">
        <x:v>Saved asset value; overrides fallback</x:v>
      </x:c>
      <x:c r="G156" s="6" t="str">
        <x:v>/Game/HeavensDivide/Upgrades/Ninja/DA_Upgrade_NinjaRelentlessFang</x:v>
      </x:c>
      <x:c r="H156" s="6" t="str">
        <x:v>Source/HeavensDivide/NinjaFangBuild.cpp:74</x:v>
      </x:c>
    </x:row>
    <x:row r="157" ht="30" customHeight="1">
      <x:c r="A157" s="6" t="str">
        <x:v>Returning Fang</x:v>
      </x:c>
      <x:c r="B157" s="6" t="str">
        <x:v>RelentlessFang</x:v>
      </x:c>
      <x:c r="C157" s="6" t="str">
        <x:v>StreakCap</x:v>
      </x:c>
      <x:c r="D157" s="13" t="n">
        <x:v>5</x:v>
      </x:c>
      <x:c r="E157" s="6" t="str">
        <x:v>count / cadence</x:v>
      </x:c>
      <x:c r="F157" s="6" t="str">
        <x:v>Saved asset value; overrides fallback</x:v>
      </x:c>
      <x:c r="G157" s="6" t="str">
        <x:v>/Game/HeavensDivide/Upgrades/Ninja/DA_Upgrade_NinjaRelentlessFang</x:v>
      </x:c>
      <x:c r="H157" s="6" t="str">
        <x:v>Source/HeavensDivide/NinjaFangBuild.cpp:74</x:v>
      </x:c>
    </x:row>
    <x:row r="158" ht="51" customHeight="1">
      <x:c r="A158" s="6" t="str">
        <x:v>Returning Fang</x:v>
      </x:c>
      <x:c r="B158" s="6" t="str">
        <x:v>ReturningFang</x:v>
      </x:c>
      <x:c r="C158" s="6" t="str">
        <x:v>CountDamage</x:v>
      </x:c>
      <x:c r="D158" s="14" t="n">
        <x:v>0.25</x:v>
      </x:c>
      <x:c r="E158" s="6" t="str">
        <x:v>ratio / multiplier</x:v>
      </x:c>
      <x:c r="F158" s="6" t="str">
        <x:v>Saved asset value; overrides fallback</x:v>
      </x:c>
      <x:c r="G158" s="6" t="str">
        <x:v>/Game/HeavensDivide/Upgrades/Ninja/DA_Upgrade_NinjaReturningFangStance</x:v>
      </x:c>
      <x:c r="H158" s="6" t="str">
        <x:v>Source/HeavensDivide/NinjaFangBuild.cpp:96
Source/HeavensDivide/NinjaBuildProjectile.cpp:75
Source/HeavensDivide/AutoAttackComponent.cpp:1054</x:v>
      </x:c>
    </x:row>
    <x:row r="159" ht="51" customHeight="1">
      <x:c r="A159" s="6" t="str">
        <x:v>Returning Fang</x:v>
      </x:c>
      <x:c r="B159" s="6" t="str">
        <x:v>ReturningFang</x:v>
      </x:c>
      <x:c r="C159" s="6" t="str">
        <x:v>FlightSpeedMultiplier</x:v>
      </x:c>
      <x:c r="D159" s="20" t="n">
        <x:v>0.5</x:v>
      </x:c>
      <x:c r="E159" s="6" t="str">
        <x:v>ratio / multiplier</x:v>
      </x:c>
      <x:c r="F159" s="6" t="str">
        <x:v>Saved asset value; overrides fallback</x:v>
      </x:c>
      <x:c r="G159" s="6" t="str">
        <x:v>/Game/HeavensDivide/Upgrades/Ninja/DA_Upgrade_NinjaReturningFangStance</x:v>
      </x:c>
      <x:c r="H159" s="6" t="str">
        <x:v>Source/HeavensDivide/NinjaFangBuild.cpp:96
Source/HeavensDivide/NinjaBuildProjectile.cpp:75
Source/HeavensDivide/AutoAttackComponent.cpp:1054</x:v>
      </x:c>
    </x:row>
    <x:row r="160" ht="51" customHeight="1">
      <x:c r="A160" s="6" t="str">
        <x:v>Returning Fang</x:v>
      </x:c>
      <x:c r="B160" s="6" t="str">
        <x:v>ReturningFang</x:v>
      </x:c>
      <x:c r="C160" s="6" t="str">
        <x:v>MaxLaunchesPerSecond</x:v>
      </x:c>
      <x:c r="D160" s="13" t="n">
        <x:v>2</x:v>
      </x:c>
      <x:c r="E160" s="6" t="str">
        <x:v>count / cadence</x:v>
      </x:c>
      <x:c r="F160" s="6" t="str">
        <x:v>Saved asset value; overrides fallback</x:v>
      </x:c>
      <x:c r="G160" s="6" t="str">
        <x:v>/Game/HeavensDivide/Upgrades/Ninja/DA_Upgrade_NinjaReturningFangStance</x:v>
      </x:c>
      <x:c r="H160" s="6" t="str">
        <x:v>Source/HeavensDivide/NinjaFangBuild.cpp:96
Source/HeavensDivide/NinjaBuildProjectile.cpp:75
Source/HeavensDivide/AutoAttackComponent.cpp:1054</x:v>
      </x:c>
    </x:row>
    <x:row r="161" ht="51" customHeight="1">
      <x:c r="A161" s="6" t="str">
        <x:v>Returning Fang</x:v>
      </x:c>
      <x:c r="B161" s="6" t="str">
        <x:v>ReturningFang</x:v>
      </x:c>
      <x:c r="C161" s="6" t="str">
        <x:v>MaximumFlightTime</x:v>
      </x:c>
      <x:c r="D161" s="13" t="n">
        <x:v>4</x:v>
      </x:c>
      <x:c r="E161" s="6" t="str">
        <x:v>s</x:v>
      </x:c>
      <x:c r="F161" s="6" t="str">
        <x:v>Saved asset value; overrides fallback</x:v>
      </x:c>
      <x:c r="G161" s="6" t="str">
        <x:v>/Game/HeavensDivide/Upgrades/Ninja/DA_Upgrade_NinjaReturningFangStance</x:v>
      </x:c>
      <x:c r="H161" s="6" t="str">
        <x:v>Source/HeavensDivide/NinjaFangBuild.cpp:96
Source/HeavensDivide/NinjaBuildProjectile.cpp:75
Source/HeavensDivide/AutoAttackComponent.cpp:1054</x:v>
      </x:c>
    </x:row>
    <x:row r="162" ht="51" customHeight="1">
      <x:c r="A162" s="6" t="str">
        <x:v>Returning Fang</x:v>
      </x:c>
      <x:c r="B162" s="6" t="str">
        <x:v>ReturningFang</x:v>
      </x:c>
      <x:c r="C162" s="6" t="str">
        <x:v>TargetingRangeMultiplier</x:v>
      </x:c>
      <x:c r="D162" s="20" t="n">
        <x:v>0.5</x:v>
      </x:c>
      <x:c r="E162" s="6" t="str">
        <x:v>ratio / multiplier</x:v>
      </x:c>
      <x:c r="F162" s="6" t="str">
        <x:v>Saved asset value; overrides fallback</x:v>
      </x:c>
      <x:c r="G162" s="6" t="str">
        <x:v>/Game/HeavensDivide/Upgrades/Ninja/DA_Upgrade_NinjaReturningFangStance</x:v>
      </x:c>
      <x:c r="H162" s="6" t="str">
        <x:v>Source/HeavensDivide/NinjaFangBuild.cpp:96
Source/HeavensDivide/NinjaBuildProjectile.cpp:75
Source/HeavensDivide/AutoAttackComponent.cpp:1054</x:v>
      </x:c>
    </x:row>
    <x:row r="163" ht="38" customHeight="1">
      <x:c r="A163" s="6" t="str">
        <x:v>Barrage</x:v>
      </x:c>
      <x:c r="B163" s="6" t="str">
        <x:v>BarrageAssist</x:v>
      </x:c>
      <x:c r="C163" s="6" t="str">
        <x:v>Chance</x:v>
      </x:c>
      <x:c r="D163" s="14" t="n">
        <x:v>0.05</x:v>
      </x:c>
      <x:c r="E163" s="6" t="str">
        <x:v>ratio / multiplier</x:v>
      </x:c>
      <x:c r="F163" s="6" t="str">
        <x:v>Saved asset value; overrides fallback</x:v>
      </x:c>
      <x:c r="G163" s="6" t="str">
        <x:v>/Game/HeavensDivide/Upgrades/Ninja/DA_Upgrade_NinjaBarrageAssist</x:v>
      </x:c>
      <x:c r="H163" s="6" t="str">
        <x:v>Source/HeavensDivide/AutoAttackComponent.cpp:345</x:v>
      </x:c>
    </x:row>
    <x:row r="164" ht="30" customHeight="1">
      <x:c r="A164" s="6" t="str">
        <x:v>Barrage</x:v>
      </x:c>
      <x:c r="B164" s="6" t="str">
        <x:v>BarrageAssistChance</x:v>
      </x:c>
      <x:c r="C164" s="6" t="str">
        <x:v>PerRank</x:v>
      </x:c>
      <x:c r="D164" s="14" t="n">
        <x:v>0.05</x:v>
      </x:c>
      <x:c r="E164" s="6" t="str">
        <x:v>card-specific</x:v>
      </x:c>
      <x:c r="F164" s="6" t="str">
        <x:v>Saved asset value; overrides fallback</x:v>
      </x:c>
      <x:c r="G164" s="6" t="str">
        <x:v>/Game/HeavensDivide/Upgrades/Ninja/DA_Upgrade_NinjaBarrageAssistChance</x:v>
      </x:c>
      <x:c r="H164" s="6" t="str">
        <x:v>Source/HeavensDivide/AutoAttackComponent.cpp:345</x:v>
      </x:c>
    </x:row>
    <x:row r="165" ht="38" customHeight="1">
      <x:c r="A165" s="6" t="str">
        <x:v>Barrage</x:v>
      </x:c>
      <x:c r="B165" s="6" t="str">
        <x:v>BarrageBloom</x:v>
      </x:c>
      <x:c r="C165" s="6" t="str">
        <x:v>RemainingDamageFraction</x:v>
      </x:c>
      <x:c r="D165" s="20" t="n">
        <x:v>0.1</x:v>
      </x:c>
      <x:c r="E165" s="6" t="str">
        <x:v>ratio / multiplier</x:v>
      </x:c>
      <x:c r="F165" s="6" t="str">
        <x:v>Saved asset value; overrides fallback</x:v>
      </x:c>
      <x:c r="G165" s="6" t="str">
        <x:v>/Game/HeavensDivide/Upgrades/Ninja/DA_Upgrade_NinjaBarrageBloom</x:v>
      </x:c>
      <x:c r="H165" s="6" t="str">
        <x:v>Source/HeavensDivide/BarragePoisonPool.cpp:34
Source/HeavensDivide/BarrageBuild.cpp:7</x:v>
      </x:c>
    </x:row>
    <x:row r="166" ht="38" customHeight="1">
      <x:c r="A166" s="6" t="str">
        <x:v>Barrage</x:v>
      </x:c>
      <x:c r="B166" s="6" t="str">
        <x:v>BarrageCritical</x:v>
      </x:c>
      <x:c r="C166" s="6" t="str">
        <x:v>Chance</x:v>
      </x:c>
      <x:c r="D166" s="14" t="n">
        <x:v>0.15</x:v>
      </x:c>
      <x:c r="E166" s="6" t="str">
        <x:v>ratio / multiplier</x:v>
      </x:c>
      <x:c r="F166" s="6" t="str">
        <x:v>Saved asset value; overrides fallback</x:v>
      </x:c>
      <x:c r="G166" s="6" t="str">
        <x:v>/Game/HeavensDivide/Upgrades/Ninja/DA_Upgrade_NinjaBarrageCritical</x:v>
      </x:c>
      <x:c r="H166" s="6" t="str">
        <x:v>Source/HeavensDivide/AttackProjectileBase.cpp:284</x:v>
      </x:c>
    </x:row>
    <x:row r="167" ht="38" customHeight="1">
      <x:c r="A167" s="6" t="str">
        <x:v>Barrage</x:v>
      </x:c>
      <x:c r="B167" s="6" t="str">
        <x:v>BarrageCritical</x:v>
      </x:c>
      <x:c r="C167" s="6" t="str">
        <x:v>DamageMultiplier</x:v>
      </x:c>
      <x:c r="D167" s="13" t="n">
        <x:v>2</x:v>
      </x:c>
      <x:c r="E167" s="6" t="str">
        <x:v>ratio / multiplier</x:v>
      </x:c>
      <x:c r="F167" s="6" t="str">
        <x:v>Saved asset value; overrides fallback</x:v>
      </x:c>
      <x:c r="G167" s="6" t="str">
        <x:v>/Game/HeavensDivide/Upgrades/Ninja/DA_Upgrade_NinjaBarrageCritical</x:v>
      </x:c>
      <x:c r="H167" s="6" t="str">
        <x:v>Source/HeavensDivide/AttackProjectileBase.cpp:284</x:v>
      </x:c>
    </x:row>
    <x:row r="168" ht="30" customHeight="1">
      <x:c r="A168" s="6" t="str">
        <x:v>Barrage</x:v>
      </x:c>
      <x:c r="B168" s="6" t="str">
        <x:v>BarrageCriticalChance</x:v>
      </x:c>
      <x:c r="C168" s="6" t="str">
        <x:v>PerRank</x:v>
      </x:c>
      <x:c r="D168" s="20" t="n">
        <x:v>0.1</x:v>
      </x:c>
      <x:c r="E168" s="6" t="str">
        <x:v>card-specific</x:v>
      </x:c>
      <x:c r="F168" s="6" t="str">
        <x:v>Saved asset value; overrides fallback</x:v>
      </x:c>
      <x:c r="G168" s="6" t="str">
        <x:v>/Game/HeavensDivide/Upgrades/Ninja/DA_Upgrade_NinjaBarrageCriticalChance</x:v>
      </x:c>
      <x:c r="H168" s="6" t="str">
        <x:v>Source/HeavensDivide/AttackProjectileBase.cpp:284</x:v>
      </x:c>
    </x:row>
    <x:row r="169" ht="38" customHeight="1">
      <x:c r="A169" s="6" t="str">
        <x:v>Barrage</x:v>
      </x:c>
      <x:c r="B169" s="6" t="str">
        <x:v>BarragePointBlank</x:v>
      </x:c>
      <x:c r="C169" s="6" t="str">
        <x:v>AttackSpeedBonus</x:v>
      </x:c>
      <x:c r="D169" s="20" t="n">
        <x:v>0.5</x:v>
      </x:c>
      <x:c r="E169" s="6" t="str">
        <x:v>ratio / multiplier</x:v>
      </x:c>
      <x:c r="F169" s="6" t="str">
        <x:v>Saved asset value; overrides fallback</x:v>
      </x:c>
      <x:c r="G169" s="6" t="str">
        <x:v>/Game/HeavensDivide/Upgrades/Ninja/DA_Upgrade_NinjaBarragePointBlank</x:v>
      </x:c>
      <x:c r="H169" s="6" t="str">
        <x:v>Source/HeavensDivide/AutoAttackComponent.cpp:1245
Source/HeavensDivide/BarrageBuild.cpp:7</x:v>
      </x:c>
    </x:row>
    <x:row r="170" ht="38" customHeight="1">
      <x:c r="A170" s="6" t="str">
        <x:v>Barrage</x:v>
      </x:c>
      <x:c r="B170" s="6" t="str">
        <x:v>BarragePointBlank</x:v>
      </x:c>
      <x:c r="C170" s="6" t="str">
        <x:v>RangeMultiplier</x:v>
      </x:c>
      <x:c r="D170" s="20" t="n">
        <x:v>0.3</x:v>
      </x:c>
      <x:c r="E170" s="6" t="str">
        <x:v>ratio / multiplier</x:v>
      </x:c>
      <x:c r="F170" s="6" t="str">
        <x:v>Saved asset value; overrides fallback</x:v>
      </x:c>
      <x:c r="G170" s="6" t="str">
        <x:v>/Game/HeavensDivide/Upgrades/Ninja/DA_Upgrade_NinjaBarragePointBlank</x:v>
      </x:c>
      <x:c r="H170" s="6" t="str">
        <x:v>Source/HeavensDivide/AutoAttackComponent.cpp:1245
Source/HeavensDivide/BarrageBuild.cpp:7</x:v>
      </x:c>
    </x:row>
    <x:row r="171" ht="30" customHeight="1">
      <x:c r="A171" s="6" t="str">
        <x:v>Barrage</x:v>
      </x:c>
      <x:c r="B171" s="6" t="str">
        <x:v>BarragePoisonCap</x:v>
      </x:c>
      <x:c r="C171" s="6" t="str">
        <x:v>PerRank</x:v>
      </x:c>
      <x:c r="D171" s="13" t="n">
        <x:v>4</x:v>
      </x:c>
      <x:c r="E171" s="6" t="str">
        <x:v>card-specific</x:v>
      </x:c>
      <x:c r="F171" s="6" t="str">
        <x:v>Saved asset value; overrides fallback</x:v>
      </x:c>
      <x:c r="G171" s="6" t="str">
        <x:v>/Game/HeavensDivide/Upgrades/Ninja/DA_Upgrade_NinjaBarragePoisonCap</x:v>
      </x:c>
      <x:c r="H171" s="6" t="str">
        <x:v>Source/HeavensDivide/BarragePoison.cpp:20</x:v>
      </x:c>
    </x:row>
    <x:row r="172" ht="30" customHeight="1">
      <x:c r="A172" s="6" t="str">
        <x:v>Barrage</x:v>
      </x:c>
      <x:c r="B172" s="6" t="str">
        <x:v>BarragePoisonDuration</x:v>
      </x:c>
      <x:c r="C172" s="6" t="str">
        <x:v>PerRank</x:v>
      </x:c>
      <x:c r="D172" s="13" t="n">
        <x:v>1</x:v>
      </x:c>
      <x:c r="E172" s="6" t="str">
        <x:v>card-specific</x:v>
      </x:c>
      <x:c r="F172" s="6" t="str">
        <x:v>Saved asset value; overrides fallback</x:v>
      </x:c>
      <x:c r="G172" s="6" t="str">
        <x:v>/Game/HeavensDivide/Upgrades/Ninja/DA_Upgrade_NinjaBarragePoisonDuration</x:v>
      </x:c>
      <x:c r="H172" s="6" t="str">
        <x:v>Source/HeavensDivide/BarragePoison.cpp:28</x:v>
      </x:c>
    </x:row>
    <x:row r="173" ht="30" customHeight="1">
      <x:c r="A173" s="6" t="str">
        <x:v>Barrage</x:v>
      </x:c>
      <x:c r="B173" s="6" t="str">
        <x:v>BarragePoisonLoad</x:v>
      </x:c>
      <x:c r="C173" s="6" t="str">
        <x:v>PerRank</x:v>
      </x:c>
      <x:c r="D173" s="13" t="n">
        <x:v>1</x:v>
      </x:c>
      <x:c r="E173" s="6" t="str">
        <x:v>card-specific</x:v>
      </x:c>
      <x:c r="F173" s="6" t="str">
        <x:v>Saved asset value; overrides fallback</x:v>
      </x:c>
      <x:c r="G173" s="6" t="str">
        <x:v>/Game/HeavensDivide/Upgrades/Ninja/DA_Upgrade_NinjaBarragePoisonLoad</x:v>
      </x:c>
      <x:c r="H173" s="6" t="str">
        <x:v>Source/HeavensDivide/BarragePoison.cpp:21</x:v>
      </x:c>
    </x:row>
    <x:row r="174" ht="38" customHeight="1">
      <x:c r="A174" s="6" t="str">
        <x:v>Barrage</x:v>
      </x:c>
      <x:c r="B174" s="6" t="str">
        <x:v>BarragePool</x:v>
      </x:c>
      <x:c r="C174" s="6" t="str">
        <x:v>Duration</x:v>
      </x:c>
      <x:c r="D174" s="13" t="n">
        <x:v>3</x:v>
      </x:c>
      <x:c r="E174" s="6" t="str">
        <x:v>s</x:v>
      </x:c>
      <x:c r="F174" s="6" t="str">
        <x:v>Saved asset value; overrides fallback</x:v>
      </x:c>
      <x:c r="G174" s="6" t="str">
        <x:v>/Game/HeavensDivide/Upgrades/Ninja/DA_Upgrade_NinjaBarragePool</x:v>
      </x:c>
      <x:c r="H174" s="6" t="str">
        <x:v>Source/HeavensDivide/BarragePoison.cpp:43
Source/HeavensDivide/BarragePoisonPool.cpp:32</x:v>
      </x:c>
    </x:row>
    <x:row r="175" ht="38" customHeight="1">
      <x:c r="A175" s="6" t="str">
        <x:v>Barrage</x:v>
      </x:c>
      <x:c r="B175" s="6" t="str">
        <x:v>BarragePool</x:v>
      </x:c>
      <x:c r="C175" s="6" t="str">
        <x:v>Radius</x:v>
      </x:c>
      <x:c r="D175" s="13" t="n">
        <x:v>220</x:v>
      </x:c>
      <x:c r="E175" s="6" t="str">
        <x:v>cm</x:v>
      </x:c>
      <x:c r="F175" s="6" t="str">
        <x:v>Saved asset value; overrides fallback</x:v>
      </x:c>
      <x:c r="G175" s="6" t="str">
        <x:v>/Game/HeavensDivide/Upgrades/Ninja/DA_Upgrade_NinjaBarragePool</x:v>
      </x:c>
      <x:c r="H175" s="6" t="str">
        <x:v>Source/HeavensDivide/BarragePoison.cpp:43
Source/HeavensDivide/BarragePoisonPool.cpp:32</x:v>
      </x:c>
    </x:row>
    <x:row r="176" ht="38" customHeight="1">
      <x:c r="A176" s="6" t="str">
        <x:v>Barrage</x:v>
      </x:c>
      <x:c r="B176" s="6" t="str">
        <x:v>BarragePool</x:v>
      </x:c>
      <x:c r="C176" s="6" t="str">
        <x:v>TickInterval</x:v>
      </x:c>
      <x:c r="D176" s="20" t="n">
        <x:v>0.5</x:v>
      </x:c>
      <x:c r="E176" s="6" t="str">
        <x:v>s</x:v>
      </x:c>
      <x:c r="F176" s="6" t="str">
        <x:v>Saved asset value; overrides fallback</x:v>
      </x:c>
      <x:c r="G176" s="6" t="str">
        <x:v>/Game/HeavensDivide/Upgrades/Ninja/DA_Upgrade_NinjaBarragePool</x:v>
      </x:c>
      <x:c r="H176" s="6" t="str">
        <x:v>Source/HeavensDivide/BarragePoison.cpp:43
Source/HeavensDivide/BarragePoisonPool.cpp:32</x:v>
      </x:c>
    </x:row>
    <x:row r="177" ht="30" customHeight="1">
      <x:c r="A177" s="6" t="str">
        <x:v>Barrage</x:v>
      </x:c>
      <x:c r="B177" s="6" t="str">
        <x:v>BarragePoolRadius</x:v>
      </x:c>
      <x:c r="C177" s="6" t="str">
        <x:v>PerRank</x:v>
      </x:c>
      <x:c r="D177" s="20" t="n">
        <x:v>0.2</x:v>
      </x:c>
      <x:c r="E177" s="6" t="str">
        <x:v>card-specific</x:v>
      </x:c>
      <x:c r="F177" s="6" t="str">
        <x:v>Saved asset value; overrides fallback</x:v>
      </x:c>
      <x:c r="G177" s="6" t="str">
        <x:v>/Game/HeavensDivide/Upgrades/Ninja/DA_Upgrade_NinjaBarragePoolRadius</x:v>
      </x:c>
      <x:c r="H177" s="6" t="str">
        <x:v>Source/HeavensDivide/BarragePoisonPool.cpp:32</x:v>
      </x:c>
    </x:row>
    <x:row r="178" ht="51" customHeight="1">
      <x:c r="A178" s="6" t="str">
        <x:v>Barrage</x:v>
      </x:c>
      <x:c r="B178" s="6" t="str">
        <x:v>BarrageProcession</x:v>
      </x:c>
      <x:c r="C178" s="6" t="str">
        <x:v>BounceCount</x:v>
      </x:c>
      <x:c r="D178" s="13" t="n">
        <x:v>3</x:v>
      </x:c>
      <x:c r="E178" s="6" t="str">
        <x:v>raw numeric</x:v>
      </x:c>
      <x:c r="F178" s="6" t="str">
        <x:v>Saved asset value; overrides fallback</x:v>
      </x:c>
      <x:c r="G178" s="6" t="str">
        <x:v>/Game/HeavensDivide/Upgrades/Ninja/DA_Upgrade_NinjaBarrageProcession</x:v>
      </x:c>
      <x:c r="H178" s="6" t="str">
        <x:v>Source/HeavensDivide/AttackProjectileBase.cpp:173
Source/HeavensDivide/NinjaBuildComponent.cpp:315
Source/HeavensDivide/AutoAttackComponent.cpp:353</x:v>
      </x:c>
    </x:row>
    <x:row r="179" ht="51" customHeight="1">
      <x:c r="A179" s="6" t="str">
        <x:v>Barrage</x:v>
      </x:c>
      <x:c r="B179" s="6" t="str">
        <x:v>BarrageProcession</x:v>
      </x:c>
      <x:c r="C179" s="6" t="str">
        <x:v>BounceRetention</x:v>
      </x:c>
      <x:c r="D179" s="14" t="n">
        <x:v>0.75</x:v>
      </x:c>
      <x:c r="E179" s="6" t="str">
        <x:v>ratio / multiplier</x:v>
      </x:c>
      <x:c r="F179" s="6" t="str">
        <x:v>Saved asset value; overrides fallback</x:v>
      </x:c>
      <x:c r="G179" s="6" t="str">
        <x:v>/Game/HeavensDivide/Upgrades/Ninja/DA_Upgrade_NinjaBarrageProcession</x:v>
      </x:c>
      <x:c r="H179" s="6" t="str">
        <x:v>Source/HeavensDivide/AttackProjectileBase.cpp:173
Source/HeavensDivide/NinjaBuildComponent.cpp:315
Source/HeavensDivide/AutoAttackComponent.cpp:353</x:v>
      </x:c>
    </x:row>
    <x:row r="180" ht="51" customHeight="1">
      <x:c r="A180" s="6" t="str">
        <x:v>Barrage</x:v>
      </x:c>
      <x:c r="B180" s="6" t="str">
        <x:v>BarrageProcession</x:v>
      </x:c>
      <x:c r="C180" s="6" t="str">
        <x:v>SplitChanceConversion</x:v>
      </x:c>
      <x:c r="D180" s="20" t="n">
        <x:v>0.2</x:v>
      </x:c>
      <x:c r="E180" s="6" t="str">
        <x:v>ratio / multiplier</x:v>
      </x:c>
      <x:c r="F180" s="6" t="str">
        <x:v>Saved asset value; overrides fallback</x:v>
      </x:c>
      <x:c r="G180" s="6" t="str">
        <x:v>/Game/HeavensDivide/Upgrades/Ninja/DA_Upgrade_NinjaBarrageProcession</x:v>
      </x:c>
      <x:c r="H180" s="6" t="str">
        <x:v>Source/HeavensDivide/AttackProjectileBase.cpp:173
Source/HeavensDivide/NinjaBuildComponent.cpp:315
Source/HeavensDivide/AutoAttackComponent.cpp:353</x:v>
      </x:c>
    </x:row>
    <x:row r="181" ht="30" customHeight="1">
      <x:c r="A181" s="6" t="str">
        <x:v>Barrage</x:v>
      </x:c>
      <x:c r="B181" s="6" t="str">
        <x:v>BarrageRainFrequency</x:v>
      </x:c>
      <x:c r="C181" s="6" t="str">
        <x:v>PerRank</x:v>
      </x:c>
      <x:c r="D181" s="13" t="n">
        <x:v>1</x:v>
      </x:c>
      <x:c r="E181" s="6" t="str">
        <x:v>card-specific</x:v>
      </x:c>
      <x:c r="F181" s="6" t="str">
        <x:v>Saved asset value; overrides fallback</x:v>
      </x:c>
      <x:c r="G181" s="6" t="str">
        <x:v>/Game/HeavensDivide/Upgrades/Ninja/DA_Upgrade_NinjaBarrageRainFrequency</x:v>
      </x:c>
      <x:c r="H181" s="6" t="str">
        <x:v>Source/HeavensDivide/NinjaBuildComponent.cpp:314</x:v>
      </x:c>
    </x:row>
    <x:row r="182" ht="30" customHeight="1">
      <x:c r="A182" s="6" t="str">
        <x:v>Barrage</x:v>
      </x:c>
      <x:c r="B182" s="6" t="str">
        <x:v>BarrageRange</x:v>
      </x:c>
      <x:c r="C182" s="6" t="str">
        <x:v>PerRank</x:v>
      </x:c>
      <x:c r="D182" s="14" t="n">
        <x:v>0.15</x:v>
      </x:c>
      <x:c r="E182" s="6" t="str">
        <x:v>card-specific</x:v>
      </x:c>
      <x:c r="F182" s="6" t="str">
        <x:v>Bypassed by accumulated rarity magnitudes</x:v>
      </x:c>
      <x:c r="G182" s="6" t="str">
        <x:v>/Game/HeavensDivide/Upgrades/Ninja/DA_Upgrade_NinjaBarrageRange</x:v>
      </x:c>
      <x:c r="H182" s="6" t="str">
        <x:v>Source/HeavensDivide/BarrageBuild.cpp:17</x:v>
      </x:c>
    </x:row>
    <x:row r="183" ht="30" customHeight="1">
      <x:c r="A183" s="6" t="str">
        <x:v>Barrage</x:v>
      </x:c>
      <x:c r="B183" s="6" t="str">
        <x:v>BarrageRush</x:v>
      </x:c>
      <x:c r="C183" s="6" t="str">
        <x:v>Duration</x:v>
      </x:c>
      <x:c r="D183" s="13" t="n">
        <x:v>3</x:v>
      </x:c>
      <x:c r="E183" s="6" t="str">
        <x:v>s</x:v>
      </x:c>
      <x:c r="F183" s="6" t="str">
        <x:v>Saved asset value; overrides fallback</x:v>
      </x:c>
      <x:c r="G183" s="6" t="str">
        <x:v>/Game/HeavensDivide/Upgrades/Ninja/DA_Upgrade_NinjaBarrageRush</x:v>
      </x:c>
      <x:c r="H183" s="6" t="str">
        <x:v>Source/HeavensDivide/BarragePoison.cpp:41</x:v>
      </x:c>
    </x:row>
    <x:row r="184" ht="38" customHeight="1">
      <x:c r="A184" s="6" t="str">
        <x:v>Barrage</x:v>
      </x:c>
      <x:c r="B184" s="6" t="str">
        <x:v>BarrageRush</x:v>
      </x:c>
      <x:c r="C184" s="6" t="str">
        <x:v>MoveSpeedBonus</x:v>
      </x:c>
      <x:c r="D184" s="20" t="n">
        <x:v>0.2</x:v>
      </x:c>
      <x:c r="E184" s="6" t="str">
        <x:v>ratio / multiplier</x:v>
      </x:c>
      <x:c r="F184" s="6" t="str">
        <x:v>Saved asset value; overrides fallback</x:v>
      </x:c>
      <x:c r="G184" s="6" t="str">
        <x:v>/Game/HeavensDivide/Upgrades/Ninja/DA_Upgrade_NinjaBarrageRush</x:v>
      </x:c>
      <x:c r="H184" s="6" t="str">
        <x:v>Source/HeavensDivide/BarragePoison.cpp:41</x:v>
      </x:c>
    </x:row>
    <x:row r="185" ht="30" customHeight="1">
      <x:c r="A185" s="6" t="str">
        <x:v>Barrage</x:v>
      </x:c>
      <x:c r="B185" s="6" t="str">
        <x:v>BarrageSplitChance</x:v>
      </x:c>
      <x:c r="C185" s="6" t="str">
        <x:v>PerRank</x:v>
      </x:c>
      <x:c r="D185" s="20" t="n">
        <x:v>0.1</x:v>
      </x:c>
      <x:c r="E185" s="6" t="str">
        <x:v>card-specific</x:v>
      </x:c>
      <x:c r="F185" s="6" t="str">
        <x:v>Saved asset value; overrides fallback</x:v>
      </x:c>
      <x:c r="G185" s="6" t="str">
        <x:v>/Game/HeavensDivide/Upgrades/Ninja/DA_Upgrade_NinjaBarrageSplitChance</x:v>
      </x:c>
      <x:c r="H185" s="6" t="str">
        <x:v>Source/HeavensDivide/BarrageBuild.cpp:15</x:v>
      </x:c>
    </x:row>
    <x:row r="186" ht="51" customHeight="1">
      <x:c r="A186" s="6" t="str">
        <x:v>Barrage</x:v>
      </x:c>
      <x:c r="B186" s="6" t="str">
        <x:v>BarrageStance</x:v>
      </x:c>
      <x:c r="C186" s="6" t="str">
        <x:v>AttackSpeedBonus</x:v>
      </x:c>
      <x:c r="D186" s="20" t="n">
        <x:v>0.3</x:v>
      </x:c>
      <x:c r="E186" s="6" t="str">
        <x:v>ratio / multiplier</x:v>
      </x:c>
      <x:c r="F186" s="6" t="str">
        <x:v>Saved asset value; overrides fallback</x:v>
      </x:c>
      <x:c r="G186" s="6" t="str">
        <x:v>/Game/HeavensDivide/Upgrades/Ninja/DA_Upgrade_NinjaBarrageStance</x:v>
      </x:c>
      <x:c r="H186" s="6" t="str">
        <x:v>Source/HeavensDivide/BarragePoison.cpp:17
Source/HeavensDivide/BarragePoisonPool.cpp:63
Source/HeavensDivide/AttackProjectileBase.cpp:163</x:v>
      </x:c>
    </x:row>
    <x:row r="187" ht="51" customHeight="1">
      <x:c r="A187" s="6" t="str">
        <x:v>Barrage</x:v>
      </x:c>
      <x:c r="B187" s="6" t="str">
        <x:v>BarrageStance</x:v>
      </x:c>
      <x:c r="C187" s="6" t="str">
        <x:v>BonusProjectiles</x:v>
      </x:c>
      <x:c r="D187" s="13" t="n">
        <x:v>2</x:v>
      </x:c>
      <x:c r="E187" s="6" t="str">
        <x:v>count / cadence</x:v>
      </x:c>
      <x:c r="F187" s="6" t="str">
        <x:v>Saved asset value; overrides fallback</x:v>
      </x:c>
      <x:c r="G187" s="6" t="str">
        <x:v>/Game/HeavensDivide/Upgrades/Ninja/DA_Upgrade_NinjaBarrageStance</x:v>
      </x:c>
      <x:c r="H187" s="6" t="str">
        <x:v>Source/HeavensDivide/BarragePoison.cpp:17
Source/HeavensDivide/BarragePoisonPool.cpp:63
Source/HeavensDivide/AttackProjectileBase.cpp:163</x:v>
      </x:c>
    </x:row>
    <x:row r="188" ht="51" customHeight="1">
      <x:c r="A188" s="6" t="str">
        <x:v>Barrage</x:v>
      </x:c>
      <x:c r="B188" s="6" t="str">
        <x:v>BarrageStance</x:v>
      </x:c>
      <x:c r="C188" s="6" t="str">
        <x:v>PoisonCap</x:v>
      </x:c>
      <x:c r="D188" s="13" t="n">
        <x:v>20</x:v>
      </x:c>
      <x:c r="E188" s="6" t="str">
        <x:v>count / cadence</x:v>
      </x:c>
      <x:c r="F188" s="6" t="str">
        <x:v>Saved asset value; overrides fallback</x:v>
      </x:c>
      <x:c r="G188" s="6" t="str">
        <x:v>/Game/HeavensDivide/Upgrades/Ninja/DA_Upgrade_NinjaBarrageStance</x:v>
      </x:c>
      <x:c r="H188" s="6" t="str">
        <x:v>Source/HeavensDivide/BarragePoison.cpp:17
Source/HeavensDivide/BarragePoisonPool.cpp:63
Source/HeavensDivide/AttackProjectileBase.cpp:163</x:v>
      </x:c>
    </x:row>
    <x:row r="189" ht="51" customHeight="1">
      <x:c r="A189" s="6" t="str">
        <x:v>Barrage</x:v>
      </x:c>
      <x:c r="B189" s="6" t="str">
        <x:v>BarrageStance</x:v>
      </x:c>
      <x:c r="C189" s="6" t="str">
        <x:v>PoisonDuration</x:v>
      </x:c>
      <x:c r="D189" s="13" t="n">
        <x:v>5</x:v>
      </x:c>
      <x:c r="E189" s="6" t="str">
        <x:v>s</x:v>
      </x:c>
      <x:c r="F189" s="6" t="str">
        <x:v>Saved asset value; overrides fallback</x:v>
      </x:c>
      <x:c r="G189" s="6" t="str">
        <x:v>/Game/HeavensDivide/Upgrades/Ninja/DA_Upgrade_NinjaBarrageStance</x:v>
      </x:c>
      <x:c r="H189" s="6" t="str">
        <x:v>Source/HeavensDivide/BarragePoison.cpp:17
Source/HeavensDivide/BarragePoisonPool.cpp:63
Source/HeavensDivide/AttackProjectileBase.cpp:163</x:v>
      </x:c>
    </x:row>
    <x:row r="190" ht="51" customHeight="1">
      <x:c r="A190" s="6" t="str">
        <x:v>Barrage</x:v>
      </x:c>
      <x:c r="B190" s="6" t="str">
        <x:v>BarrageStance</x:v>
      </x:c>
      <x:c r="C190" s="6" t="str">
        <x:v>PoisonHitFraction</x:v>
      </x:c>
      <x:c r="D190" s="14" t="n">
        <x:v>0.05</x:v>
      </x:c>
      <x:c r="E190" s="6" t="str">
        <x:v>ratio / multiplier</x:v>
      </x:c>
      <x:c r="F190" s="6" t="str">
        <x:v>Saved asset value; overrides fallback</x:v>
      </x:c>
      <x:c r="G190" s="6" t="str">
        <x:v>/Game/HeavensDivide/Upgrades/Ninja/DA_Upgrade_NinjaBarrageStance</x:v>
      </x:c>
      <x:c r="H190" s="6" t="str">
        <x:v>Source/HeavensDivide/BarragePoison.cpp:17
Source/HeavensDivide/BarragePoisonPool.cpp:63
Source/HeavensDivide/AttackProjectileBase.cpp:163</x:v>
      </x:c>
    </x:row>
    <x:row r="191" ht="51" customHeight="1">
      <x:c r="A191" s="6" t="str">
        <x:v>Barrage</x:v>
      </x:c>
      <x:c r="B191" s="6" t="str">
        <x:v>BarrageStance</x:v>
      </x:c>
      <x:c r="C191" s="6" t="str">
        <x:v>PoisonTickInterval</x:v>
      </x:c>
      <x:c r="D191" s="20" t="n">
        <x:v>0.2</x:v>
      </x:c>
      <x:c r="E191" s="6" t="str">
        <x:v>s</x:v>
      </x:c>
      <x:c r="F191" s="6" t="str">
        <x:v>Saved asset value; overrides fallback</x:v>
      </x:c>
      <x:c r="G191" s="6" t="str">
        <x:v>/Game/HeavensDivide/Upgrades/Ninja/DA_Upgrade_NinjaBarrageStance</x:v>
      </x:c>
      <x:c r="H191" s="6" t="str">
        <x:v>Source/HeavensDivide/BarragePoison.cpp:17
Source/HeavensDivide/BarragePoisonPool.cpp:63
Source/HeavensDivide/AttackProjectileBase.cpp:163</x:v>
      </x:c>
    </x:row>
    <x:row r="192" ht="51" customHeight="1">
      <x:c r="A192" s="6" t="str">
        <x:v>Barrage</x:v>
      </x:c>
      <x:c r="B192" s="6" t="str">
        <x:v>BarrageStance</x:v>
      </x:c>
      <x:c r="C192" s="6" t="str">
        <x:v>ProjectileDamageMultiplier</x:v>
      </x:c>
      <x:c r="D192" s="20" t="n">
        <x:v>0.6</x:v>
      </x:c>
      <x:c r="E192" s="6" t="str">
        <x:v>ratio / multiplier</x:v>
      </x:c>
      <x:c r="F192" s="6" t="str">
        <x:v>Saved asset value; overrides fallback</x:v>
      </x:c>
      <x:c r="G192" s="6" t="str">
        <x:v>/Game/HeavensDivide/Upgrades/Ninja/DA_Upgrade_NinjaBarrageStance</x:v>
      </x:c>
      <x:c r="H192" s="6" t="str">
        <x:v>Source/HeavensDivide/BarragePoison.cpp:17
Source/HeavensDivide/BarragePoisonPool.cpp:63
Source/HeavensDivide/AttackProjectileBase.cpp:163</x:v>
      </x:c>
    </x:row>
    <x:row r="193" ht="51" customHeight="1">
      <x:c r="A193" s="6" t="str">
        <x:v>Barrage</x:v>
      </x:c>
      <x:c r="B193" s="6" t="str">
        <x:v>ForkingProjectiles</x:v>
      </x:c>
      <x:c r="C193" s="6" t="str">
        <x:v>Chance</x:v>
      </x:c>
      <x:c r="D193" s="14" t="n">
        <x:v>0.15</x:v>
      </x:c>
      <x:c r="E193" s="6" t="str">
        <x:v>ratio / multiplier</x:v>
      </x:c>
      <x:c r="F193" s="6" t="str">
        <x:v>Saved asset value; overrides fallback</x:v>
      </x:c>
      <x:c r="G193" s="6" t="str">
        <x:v>/Game/HeavensDivide/Upgrades/Ninja/DA_Upgrade_NinjaForkingProjectiles</x:v>
      </x:c>
      <x:c r="H193" s="6" t="str">
        <x:v>Source/HeavensDivide/AttackProjectileBase.cpp:305
Source/HeavensDivide/AutoAttackComponent.cpp:1361
Source/HeavensDivide/BarrageBuild.cpp:5</x:v>
      </x:c>
    </x:row>
    <x:row r="194" ht="38" customHeight="1">
      <x:c r="A194" s="6" t="str">
        <x:v>Barrage</x:v>
      </x:c>
      <x:c r="B194" s="6" t="str">
        <x:v>NeedleRain</x:v>
      </x:c>
      <x:c r="C194" s="6" t="str">
        <x:v>Frequency</x:v>
      </x:c>
      <x:c r="D194" s="13" t="n">
        <x:v>4</x:v>
      </x:c>
      <x:c r="E194" s="6" t="str">
        <x:v>count / cadence</x:v>
      </x:c>
      <x:c r="F194" s="6" t="str">
        <x:v>Saved asset value; overrides fallback</x:v>
      </x:c>
      <x:c r="G194" s="6" t="str">
        <x:v>/Game/HeavensDivide/Upgrades/Ninja/DA_Upgrade_NinjaNeedleRain</x:v>
      </x:c>
      <x:c r="H194" s="6" t="str">
        <x:v>Source/HeavensDivide/NinjaBuildComponent.cpp:314
Source/HeavensDivide/BarrageBuild.cpp:5</x:v>
      </x:c>
    </x:row>
    <x:row r="195" ht="38" customHeight="1">
      <x:c r="A195" s="6" t="str">
        <x:v>Barrage</x:v>
      </x:c>
      <x:c r="B195" s="6" t="str">
        <x:v>NeedleRain</x:v>
      </x:c>
      <x:c r="C195" s="6" t="str">
        <x:v>ProjectileMultiplier</x:v>
      </x:c>
      <x:c r="D195" s="13" t="n">
        <x:v>2</x:v>
      </x:c>
      <x:c r="E195" s="6" t="str">
        <x:v>count / cadence</x:v>
      </x:c>
      <x:c r="F195" s="6" t="str">
        <x:v>Saved asset value; overrides fallback</x:v>
      </x:c>
      <x:c r="G195" s="6" t="str">
        <x:v>/Game/HeavensDivide/Upgrades/Ninja/DA_Upgrade_NinjaNeedleRain</x:v>
      </x:c>
      <x:c r="H195" s="6" t="str">
        <x:v>Source/HeavensDivide/NinjaBuildComponent.cpp:314
Source/HeavensDivide/BarrageBuild.cpp:5</x:v>
      </x:c>
    </x:row>
    <x:row r="196" ht="38" customHeight="1">
      <x:c r="A196" s="6" t="str">
        <x:v>Giant Shuriken</x:v>
      </x:c>
      <x:c r="B196" s="6" t="str">
        <x:v>BreakingWheel</x:v>
      </x:c>
      <x:c r="C196" s="6" t="str">
        <x:v>DamageFraction</x:v>
      </x:c>
      <x:c r="D196" s="14" t="n">
        <x:v>0.75</x:v>
      </x:c>
      <x:c r="E196" s="6" t="str">
        <x:v>ratio / multiplier</x:v>
      </x:c>
      <x:c r="F196" s="6" t="str">
        <x:v>Saved asset value; overrides fallback</x:v>
      </x:c>
      <x:c r="G196" s="6" t="str">
        <x:v>/Game/HeavensDivide/Upgrades/Ninja/DA_Upgrade_NinjaBreakingWheel</x:v>
      </x:c>
      <x:c r="H196" s="6" t="str">
        <x:v>Source/HeavensDivide/NinjaShurikenBuild.cpp:45
Source/HeavensDivide/ShurikenBuild.cpp:7</x:v>
      </x:c>
    </x:row>
    <x:row r="197" ht="38" customHeight="1">
      <x:c r="A197" s="6" t="str">
        <x:v>Giant Shuriken</x:v>
      </x:c>
      <x:c r="B197" s="6" t="str">
        <x:v>BreakingWheel</x:v>
      </x:c>
      <x:c r="C197" s="6" t="str">
        <x:v>RadiusMultiplier</x:v>
      </x:c>
      <x:c r="D197" s="13" t="n">
        <x:v>2</x:v>
      </x:c>
      <x:c r="E197" s="6" t="str">
        <x:v>raw numeric</x:v>
      </x:c>
      <x:c r="F197" s="6" t="str">
        <x:v>Saved asset value; overrides fallback</x:v>
      </x:c>
      <x:c r="G197" s="6" t="str">
        <x:v>/Game/HeavensDivide/Upgrades/Ninja/DA_Upgrade_NinjaBreakingWheel</x:v>
      </x:c>
      <x:c r="H197" s="6" t="str">
        <x:v>Source/HeavensDivide/NinjaShurikenBuild.cpp:45
Source/HeavensDivide/ShurikenBuild.cpp:7</x:v>
      </x:c>
    </x:row>
    <x:row r="198" ht="51" customHeight="1">
      <x:c r="A198" s="6" t="str">
        <x:v>Giant Shuriken</x:v>
      </x:c>
      <x:c r="B198" s="6" t="str">
        <x:v>GreatShuriken</x:v>
      </x:c>
      <x:c r="C198" s="6" t="str">
        <x:v>CountSize</x:v>
      </x:c>
      <x:c r="D198" s="14" t="n">
        <x:v>0.12</x:v>
      </x:c>
      <x:c r="E198" s="6" t="str">
        <x:v>ratio / multiplier</x:v>
      </x:c>
      <x:c r="F198" s="6" t="str">
        <x:v>Saved asset value; overrides fallback</x:v>
      </x:c>
      <x:c r="G198" s="6" t="str">
        <x:v>/Game/HeavensDivide/Upgrades/Ninja/DA_Upgrade_NinjaGreatShurikenStance</x:v>
      </x:c>
      <x:c r="H198" s="6" t="str">
        <x:v>Source/HeavensDivide/PlayerUpgradeStats.cpp:126
Source/HeavensDivide/NinjaShurikenBuild.cpp:53
Source/HeavensDivide/NinjaBuildComponent.cpp:215</x:v>
      </x:c>
    </x:row>
    <x:row r="199" ht="51" customHeight="1">
      <x:c r="A199" s="6" t="str">
        <x:v>Giant Shuriken</x:v>
      </x:c>
      <x:c r="B199" s="6" t="str">
        <x:v>GreatShuriken</x:v>
      </x:c>
      <x:c r="C199" s="6" t="str">
        <x:v>HitInterval</x:v>
      </x:c>
      <x:c r="D199" s="14" t="n">
        <x:v>0.25</x:v>
      </x:c>
      <x:c r="E199" s="6" t="str">
        <x:v>s</x:v>
      </x:c>
      <x:c r="F199" s="6" t="str">
        <x:v>Saved asset value; overrides fallback</x:v>
      </x:c>
      <x:c r="G199" s="6" t="str">
        <x:v>/Game/HeavensDivide/Upgrades/Ninja/DA_Upgrade_NinjaGreatShurikenStance</x:v>
      </x:c>
      <x:c r="H199" s="6" t="str">
        <x:v>Source/HeavensDivide/PlayerUpgradeStats.cpp:126
Source/HeavensDivide/NinjaShurikenBuild.cpp:53
Source/HeavensDivide/NinjaBuildComponent.cpp:215</x:v>
      </x:c>
    </x:row>
    <x:row r="200" ht="51" customHeight="1">
      <x:c r="A200" s="6" t="str">
        <x:v>Giant Shuriken</x:v>
      </x:c>
      <x:c r="B200" s="6" t="str">
        <x:v>GreatShuriken</x:v>
      </x:c>
      <x:c r="C200" s="6" t="str">
        <x:v>Lifetime</x:v>
      </x:c>
      <x:c r="D200" s="20" t="n">
        <x:v>1.5</x:v>
      </x:c>
      <x:c r="E200" s="6" t="str">
        <x:v>raw numeric</x:v>
      </x:c>
      <x:c r="F200" s="6" t="str">
        <x:v>Saved asset value; overrides fallback</x:v>
      </x:c>
      <x:c r="G200" s="6" t="str">
        <x:v>/Game/HeavensDivide/Upgrades/Ninja/DA_Upgrade_NinjaGreatShurikenStance</x:v>
      </x:c>
      <x:c r="H200" s="6" t="str">
        <x:v>Source/HeavensDivide/PlayerUpgradeStats.cpp:126
Source/HeavensDivide/NinjaShurikenBuild.cpp:53
Source/HeavensDivide/NinjaBuildComponent.cpp:215</x:v>
      </x:c>
    </x:row>
    <x:row r="201" ht="51" customHeight="1">
      <x:c r="A201" s="6" t="str">
        <x:v>Giant Shuriken</x:v>
      </x:c>
      <x:c r="B201" s="6" t="str">
        <x:v>GreatShuriken</x:v>
      </x:c>
      <x:c r="C201" s="6" t="str">
        <x:v>Radius</x:v>
      </x:c>
      <x:c r="D201" s="13" t="n">
        <x:v>140</x:v>
      </x:c>
      <x:c r="E201" s="6" t="str">
        <x:v>cm</x:v>
      </x:c>
      <x:c r="F201" s="6" t="str">
        <x:v>Saved asset value; overrides fallback</x:v>
      </x:c>
      <x:c r="G201" s="6" t="str">
        <x:v>/Game/HeavensDivide/Upgrades/Ninja/DA_Upgrade_NinjaGreatShurikenStance</x:v>
      </x:c>
      <x:c r="H201" s="6" t="str">
        <x:v>Source/HeavensDivide/PlayerUpgradeStats.cpp:126
Source/HeavensDivide/NinjaShurikenBuild.cpp:53
Source/HeavensDivide/NinjaBuildComponent.cpp:215</x:v>
      </x:c>
    </x:row>
    <x:row r="202" ht="30" customHeight="1">
      <x:c r="A202" s="6" t="str">
        <x:v>Giant Shuriken</x:v>
      </x:c>
      <x:c r="B202" s="6" t="str">
        <x:v>GreatShuriken</x:v>
      </x:c>
      <x:c r="C202" s="6" t="str">
        <x:v>Stat[0] Ninja Damage Multiplier</x:v>
      </x:c>
      <x:c r="D202" s="20" t="n">
        <x:v>1.5</x:v>
      </x:c>
      <x:c r="E202" s="6" t="str">
        <x:v>stat value</x:v>
      </x:c>
      <x:c r="F202" s="6" t="str">
        <x:v>Multiply</x:v>
      </x:c>
      <x:c r="G202" s="6" t="str">
        <x:v>/Game/HeavensDivide/Upgrades/Ninja/DA_Upgrade_NinjaGreatShurikenStance</x:v>
      </x:c>
      <x:c r="H202" s="6" t="str">
        <x:v>Source/HeavensDivide/PlayerUpgradeStats.cpp:154</x:v>
      </x:c>
    </x:row>
    <x:row r="203" ht="30" customHeight="1">
      <x:c r="A203" s="6" t="str">
        <x:v>Giant Shuriken</x:v>
      </x:c>
      <x:c r="B203" s="6" t="str">
        <x:v>GreatShuriken</x:v>
      </x:c>
      <x:c r="C203" s="6" t="str">
        <x:v>Stat[1] Ninja Attack Speed Multiplier</x:v>
      </x:c>
      <x:c r="D203" s="20" t="n">
        <x:v>0.5</x:v>
      </x:c>
      <x:c r="E203" s="6" t="str">
        <x:v>stat value</x:v>
      </x:c>
      <x:c r="F203" s="6" t="str">
        <x:v>Multiply</x:v>
      </x:c>
      <x:c r="G203" s="6" t="str">
        <x:v>/Game/HeavensDivide/Upgrades/Ninja/DA_Upgrade_NinjaGreatShurikenStance</x:v>
      </x:c>
      <x:c r="H203" s="6" t="str">
        <x:v>Source/HeavensDivide/PlayerUpgradeStats.cpp:154</x:v>
      </x:c>
    </x:row>
    <x:row r="204" ht="30" customHeight="1">
      <x:c r="A204" s="6" t="str">
        <x:v>Giant Shuriken</x:v>
      </x:c>
      <x:c r="B204" s="6" t="str">
        <x:v>GreatShuriken</x:v>
      </x:c>
      <x:c r="C204" s="6" t="str">
        <x:v>Stat[2] Ninja Projectile Speed Multiplier</x:v>
      </x:c>
      <x:c r="D204" s="14" t="n">
        <x:v>0.45</x:v>
      </x:c>
      <x:c r="E204" s="6" t="str">
        <x:v>stat value</x:v>
      </x:c>
      <x:c r="F204" s="6" t="str">
        <x:v>Multiply</x:v>
      </x:c>
      <x:c r="G204" s="6" t="str">
        <x:v>/Game/HeavensDivide/Upgrades/Ninja/DA_Upgrade_NinjaGreatShurikenStance</x:v>
      </x:c>
      <x:c r="H204" s="6" t="str">
        <x:v>Source/HeavensDivide/PlayerUpgradeStats.cpp:154</x:v>
      </x:c>
    </x:row>
    <x:row r="205" ht="51" customHeight="1">
      <x:c r="A205" s="6" t="str">
        <x:v>Giant Shuriken</x:v>
      </x:c>
      <x:c r="B205" s="6" t="str">
        <x:v>GreatShuriken</x:v>
      </x:c>
      <x:c r="C205" s="6" t="str">
        <x:v>TravelSpeed</x:v>
      </x:c>
      <x:c r="D205" s="13" t="n">
        <x:v>800</x:v>
      </x:c>
      <x:c r="E205" s="6" t="str">
        <x:v>cm/s</x:v>
      </x:c>
      <x:c r="F205" s="6" t="str">
        <x:v>Saved asset value; overrides fallback</x:v>
      </x:c>
      <x:c r="G205" s="6" t="str">
        <x:v>/Game/HeavensDivide/Upgrades/Ninja/DA_Upgrade_NinjaGreatShurikenStance</x:v>
      </x:c>
      <x:c r="H205" s="6" t="str">
        <x:v>Source/HeavensDivide/PlayerUpgradeStats.cpp:126
Source/HeavensDivide/NinjaShurikenBuild.cpp:53
Source/HeavensDivide/NinjaBuildComponent.cpp:215</x:v>
      </x:c>
    </x:row>
    <x:row r="206" ht="38" customHeight="1">
      <x:c r="A206" s="6" t="str">
        <x:v>Giant Shuriken</x:v>
      </x:c>
      <x:c r="B206" s="6" t="str">
        <x:v>GrindingHalt</x:v>
      </x:c>
      <x:c r="C206" s="6" t="str">
        <x:v>SlowDuration</x:v>
      </x:c>
      <x:c r="D206" s="13" t="n">
        <x:v>1</x:v>
      </x:c>
      <x:c r="E206" s="6" t="str">
        <x:v>s</x:v>
      </x:c>
      <x:c r="F206" s="6" t="str">
        <x:v>Saved asset value; overrides fallback</x:v>
      </x:c>
      <x:c r="G206" s="6" t="str">
        <x:v>/Game/HeavensDivide/Upgrades/Ninja/DA_Upgrade_NinjaGrindingHalt</x:v>
      </x:c>
      <x:c r="H206" s="6" t="str">
        <x:v>Source/HeavensDivide/NinjaShurikenBuild.cpp:52
Source/HeavensDivide/ShurikenBuild.cpp:6</x:v>
      </x:c>
    </x:row>
    <x:row r="207" ht="38" customHeight="1">
      <x:c r="A207" s="6" t="str">
        <x:v>Giant Shuriken</x:v>
      </x:c>
      <x:c r="B207" s="6" t="str">
        <x:v>GrindingHalt</x:v>
      </x:c>
      <x:c r="C207" s="6" t="str">
        <x:v>SpeedMultiplier</x:v>
      </x:c>
      <x:c r="D207" s="14" t="n">
        <x:v>0.15</x:v>
      </x:c>
      <x:c r="E207" s="6" t="str">
        <x:v>ratio / multiplier</x:v>
      </x:c>
      <x:c r="F207" s="6" t="str">
        <x:v>Saved asset value; overrides fallback</x:v>
      </x:c>
      <x:c r="G207" s="6" t="str">
        <x:v>/Game/HeavensDivide/Upgrades/Ninja/DA_Upgrade_NinjaGrindingHalt</x:v>
      </x:c>
      <x:c r="H207" s="6" t="str">
        <x:v>Source/HeavensDivide/NinjaShurikenBuild.cpp:52
Source/HeavensDivide/ShurikenBuild.cpp:6</x:v>
      </x:c>
    </x:row>
    <x:row r="208" ht="38" customHeight="1">
      <x:c r="A208" s="6" t="str">
        <x:v>Giant Shuriken</x:v>
      </x:c>
      <x:c r="B208" s="6" t="str">
        <x:v>LingeringShuriken</x:v>
      </x:c>
      <x:c r="C208" s="6" t="str">
        <x:v>LifetimeBonusPerRank</x:v>
      </x:c>
      <x:c r="D208" s="20" t="n">
        <x:v>0.3</x:v>
      </x:c>
      <x:c r="E208" s="6" t="str">
        <x:v>ratio / multiplier</x:v>
      </x:c>
      <x:c r="F208" s="6" t="str">
        <x:v>Saved asset value; overrides fallback</x:v>
      </x:c>
      <x:c r="G208" s="6" t="str">
        <x:v>/Game/HeavensDivide/Upgrades/Ninja/DA_Upgrade_NinjaLingeringShuriken</x:v>
      </x:c>
      <x:c r="H208" s="6" t="str">
        <x:v>Source/HeavensDivide/NinjaBuildComponent.cpp:249
Source/HeavensDivide/ShurikenBuild.cpp:7</x:v>
      </x:c>
    </x:row>
    <x:row r="209" ht="38" customHeight="1">
      <x:c r="A209" s="6" t="str">
        <x:v>Giant Shuriken</x:v>
      </x:c>
      <x:c r="B209" s="6" t="str">
        <x:v>SerratedEdge</x:v>
      </x:c>
      <x:c r="C209" s="6" t="str">
        <x:v>DamageCap</x:v>
      </x:c>
      <x:c r="D209" s="14" t="n">
        <x:v>0.75</x:v>
      </x:c>
      <x:c r="E209" s="6" t="str">
        <x:v>ratio / multiplier</x:v>
      </x:c>
      <x:c r="F209" s="6" t="str">
        <x:v>Saved asset value; overrides fallback</x:v>
      </x:c>
      <x:c r="G209" s="6" t="str">
        <x:v>/Game/HeavensDivide/Upgrades/Ninja/DA_Upgrade_NinjaSerratedEdge</x:v>
      </x:c>
      <x:c r="H209" s="6" t="str">
        <x:v>Source/HeavensDivide/NinjaShurikenBuild.cpp:18
Source/HeavensDivide/ShurikenBuild.cpp:6</x:v>
      </x:c>
    </x:row>
    <x:row r="210" ht="38" customHeight="1">
      <x:c r="A210" s="6" t="str">
        <x:v>Giant Shuriken</x:v>
      </x:c>
      <x:c r="B210" s="6" t="str">
        <x:v>SerratedEdge</x:v>
      </x:c>
      <x:c r="C210" s="6" t="str">
        <x:v>DamagePerHit</x:v>
      </x:c>
      <x:c r="D210" s="14" t="n">
        <x:v>0.15</x:v>
      </x:c>
      <x:c r="E210" s="6" t="str">
        <x:v>ratio / multiplier</x:v>
      </x:c>
      <x:c r="F210" s="6" t="str">
        <x:v>Saved asset value; overrides fallback</x:v>
      </x:c>
      <x:c r="G210" s="6" t="str">
        <x:v>/Game/HeavensDivide/Upgrades/Ninja/DA_Upgrade_NinjaSerratedEdge</x:v>
      </x:c>
      <x:c r="H210" s="6" t="str">
        <x:v>Source/HeavensDivide/NinjaShurikenBuild.cpp:18
Source/HeavensDivide/ShurikenBuild.cpp:6</x:v>
      </x:c>
    </x:row>
    <x:row r="211" ht="38" customHeight="1">
      <x:c r="A211" s="6" t="str">
        <x:v>Giant Shuriken</x:v>
      </x:c>
      <x:c r="B211" s="6" t="str">
        <x:v>ShurikenAssist</x:v>
      </x:c>
      <x:c r="C211" s="6" t="str">
        <x:v>Chance</x:v>
      </x:c>
      <x:c r="D211" s="14" t="n">
        <x:v>0.05</x:v>
      </x:c>
      <x:c r="E211" s="6" t="str">
        <x:v>ratio / multiplier</x:v>
      </x:c>
      <x:c r="F211" s="6" t="str">
        <x:v>Saved asset value; overrides fallback</x:v>
      </x:c>
      <x:c r="G211" s="6" t="str">
        <x:v>/Game/HeavensDivide/Upgrades/Ninja/DA_Upgrade_NinjaShurikenAssist</x:v>
      </x:c>
      <x:c r="H211" s="6" t="str">
        <x:v>Source/HeavensDivide/NinjaShurikenBuild.cpp:72</x:v>
      </x:c>
    </x:row>
    <x:row r="212" ht="30" customHeight="1">
      <x:c r="A212" s="6" t="str">
        <x:v>Giant Shuriken</x:v>
      </x:c>
      <x:c r="B212" s="6" t="str">
        <x:v>ShurikenAssistChance</x:v>
      </x:c>
      <x:c r="C212" s="6" t="str">
        <x:v>PerRank</x:v>
      </x:c>
      <x:c r="D212" s="14" t="n">
        <x:v>0.05</x:v>
      </x:c>
      <x:c r="E212" s="6" t="str">
        <x:v>card-specific</x:v>
      </x:c>
      <x:c r="F212" s="6" t="str">
        <x:v>Saved asset value; overrides fallback</x:v>
      </x:c>
      <x:c r="G212" s="6" t="str">
        <x:v>/Game/HeavensDivide/Upgrades/Ninja/DA_Upgrade_NinjaShurikenAssistChance</x:v>
      </x:c>
      <x:c r="H212" s="6" t="str">
        <x:v>Source/HeavensDivide/NinjaShurikenBuild.cpp:74</x:v>
      </x:c>
    </x:row>
    <x:row r="213" ht="30" customHeight="1">
      <x:c r="A213" s="6" t="str">
        <x:v>Giant Shuriken</x:v>
      </x:c>
      <x:c r="B213" s="6" t="str">
        <x:v>ShurikenBurstPower</x:v>
      </x:c>
      <x:c r="C213" s="6" t="str">
        <x:v>PerRank</x:v>
      </x:c>
      <x:c r="D213" s="14" t="n">
        <x:v>0.15</x:v>
      </x:c>
      <x:c r="E213" s="6" t="str">
        <x:v>card-specific</x:v>
      </x:c>
      <x:c r="F213" s="6" t="str">
        <x:v>Saved asset value; overrides fallback</x:v>
      </x:c>
      <x:c r="G213" s="6" t="str">
        <x:v>/Game/HeavensDivide/Upgrades/Ninja/DA_Upgrade_NinjaShurikenBurstPower</x:v>
      </x:c>
      <x:c r="H213" s="6" t="str">
        <x:v>Source/HeavensDivide/NinjaShurikenBuild.cpp:46</x:v>
      </x:c>
    </x:row>
    <x:row r="214" ht="30" customHeight="1">
      <x:c r="A214" s="6" t="str">
        <x:v>Giant Shuriken</x:v>
      </x:c>
      <x:c r="B214" s="6" t="str">
        <x:v>ShurikenDamage</x:v>
      </x:c>
      <x:c r="C214" s="6" t="str">
        <x:v>PerRank</x:v>
      </x:c>
      <x:c r="D214" s="20" t="n">
        <x:v>0.2</x:v>
      </x:c>
      <x:c r="E214" s="6" t="str">
        <x:v>card-specific</x:v>
      </x:c>
      <x:c r="F214" s="6" t="str">
        <x:v>Bypassed by accumulated rarity magnitudes</x:v>
      </x:c>
      <x:c r="G214" s="6" t="str">
        <x:v>/Game/HeavensDivide/Upgrades/Ninja/DA_Upgrade_NinjaShurikenDamage</x:v>
      </x:c>
      <x:c r="H214" s="6" t="str">
        <x:v>Source/HeavensDivide/AutoAttackComponent.cpp:1265</x:v>
      </x:c>
    </x:row>
    <x:row r="215" ht="30" customHeight="1">
      <x:c r="A215" s="6" t="str">
        <x:v>Giant Shuriken</x:v>
      </x:c>
      <x:c r="B215" s="6" t="str">
        <x:v>ShurikenGrindDuration</x:v>
      </x:c>
      <x:c r="C215" s="6" t="str">
        <x:v>PerRank</x:v>
      </x:c>
      <x:c r="D215" s="20" t="n">
        <x:v>0.2</x:v>
      </x:c>
      <x:c r="E215" s="6" t="str">
        <x:v>card-specific</x:v>
      </x:c>
      <x:c r="F215" s="6" t="str">
        <x:v>Saved asset value; overrides fallback</x:v>
      </x:c>
      <x:c r="G215" s="6" t="str">
        <x:v>/Game/HeavensDivide/Upgrades/Ninja/DA_Upgrade_NinjaShurikenGrindDuration</x:v>
      </x:c>
      <x:c r="H215" s="6" t="str">
        <x:v>Source/HeavensDivide/NinjaShurikenBuild.cpp:66</x:v>
      </x:c>
    </x:row>
    <x:row r="216" ht="30" customHeight="1">
      <x:c r="A216" s="6" t="str">
        <x:v>Giant Shuriken</x:v>
      </x:c>
      <x:c r="B216" s="6" t="str">
        <x:v>ShurikenGrooves</x:v>
      </x:c>
      <x:c r="C216" s="6" t="str">
        <x:v>CapPerRank</x:v>
      </x:c>
      <x:c r="D216" s="14" t="n">
        <x:v>0.15</x:v>
      </x:c>
      <x:c r="E216" s="6" t="str">
        <x:v>raw numeric</x:v>
      </x:c>
      <x:c r="F216" s="6" t="str">
        <x:v>Saved asset value; overrides fallback</x:v>
      </x:c>
      <x:c r="G216" s="6" t="str">
        <x:v>/Game/HeavensDivide/Upgrades/Ninja/DA_Upgrade_NinjaShurikenGrooves</x:v>
      </x:c>
      <x:c r="H216" s="6" t="str">
        <x:v>Source/HeavensDivide/NinjaShurikenBuild.cpp:19</x:v>
      </x:c>
    </x:row>
    <x:row r="217" ht="30" customHeight="1">
      <x:c r="A217" s="6" t="str">
        <x:v>Giant Shuriken</x:v>
      </x:c>
      <x:c r="B217" s="6" t="str">
        <x:v>ShurikenGrooves</x:v>
      </x:c>
      <x:c r="C217" s="6" t="str">
        <x:v>PerHitPerRank</x:v>
      </x:c>
      <x:c r="D217" s="14" t="n">
        <x:v>0.03</x:v>
      </x:c>
      <x:c r="E217" s="6" t="str">
        <x:v>raw numeric</x:v>
      </x:c>
      <x:c r="F217" s="6" t="str">
        <x:v>Saved asset value; overrides fallback</x:v>
      </x:c>
      <x:c r="G217" s="6" t="str">
        <x:v>/Game/HeavensDivide/Upgrades/Ninja/DA_Upgrade_NinjaShurikenGrooves</x:v>
      </x:c>
      <x:c r="H217" s="6" t="str">
        <x:v>Source/HeavensDivide/NinjaShurikenBuild.cpp:19</x:v>
      </x:c>
    </x:row>
    <x:row r="218" ht="30" customHeight="1">
      <x:c r="A218" s="6" t="str">
        <x:v>Giant Shuriken</x:v>
      </x:c>
      <x:c r="B218" s="6" t="str">
        <x:v>ShurikenGrowth</x:v>
      </x:c>
      <x:c r="C218" s="6" t="str">
        <x:v>PerRank</x:v>
      </x:c>
      <x:c r="D218" s="20" t="n">
        <x:v>0.2</x:v>
      </x:c>
      <x:c r="E218" s="6" t="str">
        <x:v>card-specific</x:v>
      </x:c>
      <x:c r="F218" s="6" t="str">
        <x:v>Saved asset value; overrides fallback</x:v>
      </x:c>
      <x:c r="G218" s="6" t="str">
        <x:v>/Game/HeavensDivide/Upgrades/Ninja/DA_Upgrade_NinjaShurikenGrowth</x:v>
      </x:c>
      <x:c r="H218" s="6" t="str">
        <x:v>Source/HeavensDivide/NinjaShurikenBuild.cpp:30</x:v>
      </x:c>
    </x:row>
    <x:row r="219" ht="51" customHeight="1">
      <x:c r="A219" s="6" t="str">
        <x:v>Giant Shuriken</x:v>
      </x:c>
      <x:c r="B219" s="6" t="str">
        <x:v>ShurikenHunger</x:v>
      </x:c>
      <x:c r="C219" s="6" t="str">
        <x:v>GrowthPerKill</x:v>
      </x:c>
      <x:c r="D219" s="20" t="n">
        <x:v>0.1</x:v>
      </x:c>
      <x:c r="E219" s="6" t="str">
        <x:v>ratio / multiplier</x:v>
      </x:c>
      <x:c r="F219" s="6" t="str">
        <x:v>Saved asset value; overrides fallback</x:v>
      </x:c>
      <x:c r="G219" s="6" t="str">
        <x:v>/Game/HeavensDivide/Upgrades/Ninja/DA_Upgrade_NinjaShurikenHunger</x:v>
      </x:c>
      <x:c r="H219" s="6" t="str">
        <x:v>Source/HeavensDivide/NinjaShurikenBuild.cpp:33
Source/HeavensDivide/NinjaBuildComponent.cpp:274
Source/HeavensDivide/ShurikenBuild.cpp:10</x:v>
      </x:c>
    </x:row>
    <x:row r="220" ht="51" customHeight="1">
      <x:c r="A220" s="6" t="str">
        <x:v>Giant Shuriken</x:v>
      </x:c>
      <x:c r="B220" s="6" t="str">
        <x:v>ShurikenHunger</x:v>
      </x:c>
      <x:c r="C220" s="6" t="str">
        <x:v>InitialSizeMultiplier</x:v>
      </x:c>
      <x:c r="D220" s="20" t="n">
        <x:v>0.7</x:v>
      </x:c>
      <x:c r="E220" s="6" t="str">
        <x:v>ratio / multiplier</x:v>
      </x:c>
      <x:c r="F220" s="6" t="str">
        <x:v>Saved asset value; overrides fallback</x:v>
      </x:c>
      <x:c r="G220" s="6" t="str">
        <x:v>/Game/HeavensDivide/Upgrades/Ninja/DA_Upgrade_NinjaShurikenHunger</x:v>
      </x:c>
      <x:c r="H220" s="6" t="str">
        <x:v>Source/HeavensDivide/NinjaShurikenBuild.cpp:33
Source/HeavensDivide/NinjaBuildComponent.cpp:274
Source/HeavensDivide/ShurikenBuild.cpp:10</x:v>
      </x:c>
    </x:row>
    <x:row r="221" ht="51" customHeight="1">
      <x:c r="A221" s="6" t="str">
        <x:v>Giant Shuriken</x:v>
      </x:c>
      <x:c r="B221" s="6" t="str">
        <x:v>ShurikenOrbit</x:v>
      </x:c>
      <x:c r="C221" s="6" t="str">
        <x:v>ContactMultiplier</x:v>
      </x:c>
      <x:c r="D221" s="20" t="n">
        <x:v>0.7</x:v>
      </x:c>
      <x:c r="E221" s="6" t="str">
        <x:v>ratio / multiplier</x:v>
      </x:c>
      <x:c r="F221" s="6" t="str">
        <x:v>Saved asset value; overrides fallback</x:v>
      </x:c>
      <x:c r="G221" s="6" t="str">
        <x:v>/Game/HeavensDivide/Upgrades/Ninja/DA_Upgrade_NinjaShurikenOrbit</x:v>
      </x:c>
      <x:c r="H221" s="6" t="str">
        <x:v>Source/HeavensDivide/NinjaShurikenBuild.cpp:49
Source/HeavensDivide/NinjaBuildComponent.cpp:280
Source/HeavensDivide/ShurikenBuild.cpp:10</x:v>
      </x:c>
    </x:row>
    <x:row r="222" ht="51" customHeight="1">
      <x:c r="A222" s="6" t="str">
        <x:v>Giant Shuriken</x:v>
      </x:c>
      <x:c r="B222" s="6" t="str">
        <x:v>ShurikenOrbit</x:v>
      </x:c>
      <x:c r="C222" s="6" t="str">
        <x:v>OrbitRadius</x:v>
      </x:c>
      <x:c r="D222" s="13" t="n">
        <x:v>230</x:v>
      </x:c>
      <x:c r="E222" s="6" t="str">
        <x:v>cm</x:v>
      </x:c>
      <x:c r="F222" s="6" t="str">
        <x:v>Saved asset value; overrides fallback</x:v>
      </x:c>
      <x:c r="G222" s="6" t="str">
        <x:v>/Game/HeavensDivide/Upgrades/Ninja/DA_Upgrade_NinjaShurikenOrbit</x:v>
      </x:c>
      <x:c r="H222" s="6" t="str">
        <x:v>Source/HeavensDivide/NinjaShurikenBuild.cpp:49
Source/HeavensDivide/NinjaBuildComponent.cpp:280
Source/HeavensDivide/ShurikenBuild.cpp:10</x:v>
      </x:c>
    </x:row>
    <x:row r="223" ht="38" customHeight="1">
      <x:c r="A223" s="6" t="str">
        <x:v>Giant Shuriken</x:v>
      </x:c>
      <x:c r="B223" s="6" t="str">
        <x:v>ShurikenPulse</x:v>
      </x:c>
      <x:c r="C223" s="6" t="str">
        <x:v>ContactMultiplier</x:v>
      </x:c>
      <x:c r="D223" s="14" t="n">
        <x:v>0.65</x:v>
      </x:c>
      <x:c r="E223" s="6" t="str">
        <x:v>ratio / multiplier</x:v>
      </x:c>
      <x:c r="F223" s="6" t="str">
        <x:v>Saved asset value; overrides fallback</x:v>
      </x:c>
      <x:c r="G223" s="6" t="str">
        <x:v>/Game/HeavensDivide/Upgrades/Ninja/DA_Upgrade_NinjaShurikenPulse</x:v>
      </x:c>
      <x:c r="H223" s="6" t="str">
        <x:v>Source/HeavensDivide/NinjaShurikenBuild.cpp:50
Source/HeavensDivide/ShurikenBuild.cpp:10</x:v>
      </x:c>
    </x:row>
    <x:row r="224" ht="38" customHeight="1">
      <x:c r="A224" s="6" t="str">
        <x:v>Giant Shuriken</x:v>
      </x:c>
      <x:c r="B224" s="6" t="str">
        <x:v>ShurikenPulse</x:v>
      </x:c>
      <x:c r="C224" s="6" t="str">
        <x:v>Interval</x:v>
      </x:c>
      <x:c r="D224" s="13" t="n">
        <x:v>1</x:v>
      </x:c>
      <x:c r="E224" s="6" t="str">
        <x:v>s</x:v>
      </x:c>
      <x:c r="F224" s="6" t="str">
        <x:v>Saved asset value; overrides fallback</x:v>
      </x:c>
      <x:c r="G224" s="6" t="str">
        <x:v>/Game/HeavensDivide/Upgrades/Ninja/DA_Upgrade_NinjaShurikenPulse</x:v>
      </x:c>
      <x:c r="H224" s="6" t="str">
        <x:v>Source/HeavensDivide/NinjaShurikenBuild.cpp:50
Source/HeavensDivide/ShurikenBuild.cpp:10</x:v>
      </x:c>
    </x:row>
    <x:row r="225" ht="38" customHeight="1">
      <x:c r="A225" s="6" t="str">
        <x:v>Giant Shuriken</x:v>
      </x:c>
      <x:c r="B225" s="6" t="str">
        <x:v>ShurikenSize</x:v>
      </x:c>
      <x:c r="C225" s="6" t="str">
        <x:v>PerRank</x:v>
      </x:c>
      <x:c r="D225" s="14" t="n">
        <x:v>0.15</x:v>
      </x:c>
      <x:c r="E225" s="6" t="str">
        <x:v>card-specific</x:v>
      </x:c>
      <x:c r="F225" s="6" t="str">
        <x:v>Bypassed by accumulated rarity magnitudes</x:v>
      </x:c>
      <x:c r="G225" s="6" t="str">
        <x:v>/Game/HeavensDivide/Upgrades/Ninja/DA_Upgrade_NinjaShurikenSize</x:v>
      </x:c>
      <x:c r="H225" s="6" t="str">
        <x:v>Source/HeavensDivide/NinjaShurikenBuild.cpp:34
Source/HeavensDivide/NinjaBuildComponent.cpp:275</x:v>
      </x:c>
    </x:row>
    <x:row r="226" ht="30" customHeight="1">
      <x:c r="A226" s="6" t="str">
        <x:v>Giant Shuriken</x:v>
      </x:c>
      <x:c r="B226" s="6" t="str">
        <x:v>ShurikenSpeed</x:v>
      </x:c>
      <x:c r="C226" s="6" t="str">
        <x:v>PerRank</x:v>
      </x:c>
      <x:c r="D226" s="14" t="n">
        <x:v>0.15</x:v>
      </x:c>
      <x:c r="E226" s="6" t="str">
        <x:v>card-specific</x:v>
      </x:c>
      <x:c r="F226" s="6" t="str">
        <x:v>Bypassed by accumulated rarity magnitudes</x:v>
      </x:c>
      <x:c r="G226" s="6" t="str">
        <x:v>/Game/HeavensDivide/Upgrades/Ninja/DA_Upgrade_NinjaShurikenSpeed</x:v>
      </x:c>
      <x:c r="H226" s="6" t="str">
        <x:v>Source/HeavensDivide/AutoAttackComponent.cpp:1243</x:v>
      </x:c>
    </x:row>
    <x:row r="227" ht="30" customHeight="1">
      <x:c r="A227" s="6" t="str">
        <x:v>Giant Shuriken</x:v>
      </x:c>
      <x:c r="B227" s="6" t="str">
        <x:v>ShurikenTempo</x:v>
      </x:c>
      <x:c r="C227" s="6" t="str">
        <x:v>PerRank</x:v>
      </x:c>
      <x:c r="D227" s="14" t="n">
        <x:v>0.15</x:v>
      </x:c>
      <x:c r="E227" s="6" t="str">
        <x:v>card-specific</x:v>
      </x:c>
      <x:c r="F227" s="6" t="str">
        <x:v>Saved asset value; overrides fallback</x:v>
      </x:c>
      <x:c r="G227" s="6" t="str">
        <x:v>/Game/HeavensDivide/Upgrades/Ninja/DA_Upgrade_NinjaShurikenTempo</x:v>
      </x:c>
      <x:c r="H227" s="6" t="str">
        <x:v>Source/HeavensDivide/ShurikenBuild.cpp:12</x:v>
      </x:c>
    </x:row>
    <x:row r="228" ht="30" customHeight="1">
      <x:c r="A228" s="6" t="str">
        <x:v>Giant Shuriken</x:v>
      </x:c>
      <x:c r="B228" s="6" t="str">
        <x:v>ShurikenTwin</x:v>
      </x:c>
      <x:c r="C228" s="6" t="str">
        <x:v>Frequency</x:v>
      </x:c>
      <x:c r="D228" s="13" t="n">
        <x:v>4</x:v>
      </x:c>
      <x:c r="E228" s="6" t="str">
        <x:v>count / cadence</x:v>
      </x:c>
      <x:c r="F228" s="6" t="str">
        <x:v>Saved asset value; overrides fallback</x:v>
      </x:c>
      <x:c r="G228" s="6" t="str">
        <x:v>/Game/HeavensDivide/Upgrades/Ninja/DA_Upgrade_NinjaShurikenTwin</x:v>
      </x:c>
      <x:c r="H228" s="6" t="str">
        <x:v>Source/HeavensDivide/NinjaBuildComponent.cpp:233</x:v>
      </x:c>
    </x:row>
    <x:row r="229" ht="30" customHeight="1">
      <x:c r="A229" s="6" t="str">
        <x:v>Giant Shuriken</x:v>
      </x:c>
      <x:c r="B229" s="6" t="str">
        <x:v>ShurikenTwin</x:v>
      </x:c>
      <x:c r="C229" s="6" t="str">
        <x:v>SideAngle</x:v>
      </x:c>
      <x:c r="D229" s="13" t="n">
        <x:v>20</x:v>
      </x:c>
      <x:c r="E229" s="6" t="str">
        <x:v>degrees</x:v>
      </x:c>
      <x:c r="F229" s="6" t="str">
        <x:v>Saved asset value; overrides fallback</x:v>
      </x:c>
      <x:c r="G229" s="6" t="str">
        <x:v>/Game/HeavensDivide/Upgrades/Ninja/DA_Upgrade_NinjaShurikenTwin</x:v>
      </x:c>
      <x:c r="H229" s="6" t="str">
        <x:v>Source/HeavensDivide/NinjaBuildComponent.cpp:233</x:v>
      </x:c>
    </x:row>
    <x:row r="230" ht="30" customHeight="1">
      <x:c r="A230" s="6" t="str">
        <x:v>Giant Shuriken</x:v>
      </x:c>
      <x:c r="B230" s="6" t="str">
        <x:v>ShurikenTwinFrequency</x:v>
      </x:c>
      <x:c r="C230" s="6" t="str">
        <x:v>PerRank</x:v>
      </x:c>
      <x:c r="D230" s="13" t="n">
        <x:v>1</x:v>
      </x:c>
      <x:c r="E230" s="6" t="str">
        <x:v>card-specific</x:v>
      </x:c>
      <x:c r="F230" s="6" t="str">
        <x:v>Saved asset value; overrides fallback</x:v>
      </x:c>
      <x:c r="G230" s="6" t="str">
        <x:v>/Game/HeavensDivide/Upgrades/Ninja/DA_Upgrade_NinjaShurikenTwinFrequency</x:v>
      </x:c>
      <x:c r="H230" s="6" t="str">
        <x:v>Source/HeavensDivide/NinjaBuildComponent.cpp:233</x:v>
      </x:c>
    </x:row>
    <x:row r="231" ht="38" customHeight="1">
      <x:c r="A231" s="6" t="str">
        <x:v>Giant Shuriken</x:v>
      </x:c>
      <x:c r="B231" s="6" t="str">
        <x:v>WideOrbit</x:v>
      </x:c>
      <x:c r="C231" s="6" t="str">
        <x:v>GrowthDistance</x:v>
      </x:c>
      <x:c r="D231" s="13" t="n">
        <x:v>1000</x:v>
      </x:c>
      <x:c r="E231" s="6" t="str">
        <x:v>cm</x:v>
      </x:c>
      <x:c r="F231" s="6" t="str">
        <x:v>No runtime reader found; retained setting</x:v>
      </x:c>
      <x:c r="G231" s="6" t="str">
        <x:v>/Game/HeavensDivide/Upgrades/Ninja/DA_Upgrade_NinjaWideOrbit</x:v>
      </x:c>
      <x:c r="H231" s="6" t="str">
        <x:v>Source/HeavensDivide/NinjaShurikenBuild.cpp:29
Source/HeavensDivide/ShurikenBuild.cpp:7</x:v>
      </x:c>
    </x:row>
    <x:row r="232" ht="38" customHeight="1">
      <x:c r="A232" s="6" t="str">
        <x:v>Giant Shuriken</x:v>
      </x:c>
      <x:c r="B232" s="6" t="str">
        <x:v>WideOrbit</x:v>
      </x:c>
      <x:c r="C232" s="6" t="str">
        <x:v>MaxSizeMultiplier</x:v>
      </x:c>
      <x:c r="D232" s="13" t="n">
        <x:v>2</x:v>
      </x:c>
      <x:c r="E232" s="6" t="str">
        <x:v>ratio / multiplier</x:v>
      </x:c>
      <x:c r="F232" s="6" t="str">
        <x:v>Saved asset value; overrides fallback</x:v>
      </x:c>
      <x:c r="G232" s="6" t="str">
        <x:v>/Game/HeavensDivide/Upgrades/Ninja/DA_Upgrade_NinjaWideOrbit</x:v>
      </x:c>
      <x:c r="H232" s="6" t="str">
        <x:v>Source/HeavensDivide/NinjaShurikenBuild.cpp:29
Source/HeavensDivide/ShurikenBuild.cpp:7</x:v>
      </x:c>
    </x:row>
    <x:row r="233" ht="38" customHeight="1">
      <x:c r="A233" s="6" t="str">
        <x:v>Shared</x:v>
      </x:c>
      <x:c r="B233" s="6" t="str">
        <x:v>GlobalAttackSpeed</x:v>
      </x:c>
      <x:c r="C233" s="6" t="str">
        <x:v>Stat[0] Shared Player Attack Speed Multiplier</x:v>
      </x:c>
      <x:c r="D233" s="14" t="n">
        <x:v>0.05</x:v>
      </x:c>
      <x:c r="E233" s="6" t="str">
        <x:v>stat value</x:v>
      </x:c>
      <x:c r="F233" s="6" t="str">
        <x:v>Add Percent (rolled magnitude replaces this default)</x:v>
      </x:c>
      <x:c r="G233" s="6" t="str">
        <x:v>/Game/HeavensDivide/Upgrades/Global/DA_Upgrade_GlobalAttackSpeed</x:v>
      </x:c>
      <x:c r="H233" s="6" t="str">
        <x:v>Source/HeavensDivide/PlayerUpgradeStats.cpp:154</x:v>
      </x:c>
    </x:row>
    <x:row r="234" ht="38" customHeight="1">
      <x:c r="A234" s="6" t="str">
        <x:v>Shared</x:v>
      </x:c>
      <x:c r="B234" s="6" t="str">
        <x:v>GlobalDamage</x:v>
      </x:c>
      <x:c r="C234" s="6" t="str">
        <x:v>Stat[0] Shared Player Damage Multiplier</x:v>
      </x:c>
      <x:c r="D234" s="20" t="n">
        <x:v>0.1</x:v>
      </x:c>
      <x:c r="E234" s="6" t="str">
        <x:v>stat value</x:v>
      </x:c>
      <x:c r="F234" s="6" t="str">
        <x:v>Add Percent (rolled magnitude replaces this default)</x:v>
      </x:c>
      <x:c r="G234" s="6" t="str">
        <x:v>/Game/HeavensDivide/Upgrades/Global/DA_Upgrade_GlobalDamage</x:v>
      </x:c>
      <x:c r="H234" s="6" t="str">
        <x:v>Source/HeavensDivide/PlayerUpgradeStats.cpp:154</x:v>
      </x:c>
    </x:row>
    <x:row r="235" ht="30" customHeight="1">
      <x:c r="A235" s="6" t="str">
        <x:v>Shared</x:v>
      </x:c>
      <x:c r="B235" s="6" t="str">
        <x:v>GlobalDashCharge</x:v>
      </x:c>
      <x:c r="C235" s="6" t="str">
        <x:v>Stat[0] Shared Player Max Dash Charges</x:v>
      </x:c>
      <x:c r="D235" s="13" t="n">
        <x:v>1</x:v>
      </x:c>
      <x:c r="E235" s="6" t="str">
        <x:v>stat value</x:v>
      </x:c>
      <x:c r="F235" s="6" t="str">
        <x:v>Add Flat</x:v>
      </x:c>
      <x:c r="G235" s="6" t="str">
        <x:v>/Game/HeavensDivide/Upgrades/Global/DA_Upgrade_GlobalDashCharge</x:v>
      </x:c>
      <x:c r="H235" s="6" t="str">
        <x:v>Source/HeavensDivide/PlayerUpgradeStats.cpp:154</x:v>
      </x:c>
    </x:row>
    <x:row r="236" ht="38" customHeight="1">
      <x:c r="A236" s="6" t="str">
        <x:v>Shared</x:v>
      </x:c>
      <x:c r="B236" s="6" t="str">
        <x:v>GlobalMaxHealth</x:v>
      </x:c>
      <x:c r="C236" s="6" t="str">
        <x:v>Stat[0] Shared Player Max Health Multiplier</x:v>
      </x:c>
      <x:c r="D236" s="14" t="n">
        <x:v>0.05</x:v>
      </x:c>
      <x:c r="E236" s="6" t="str">
        <x:v>stat value</x:v>
      </x:c>
      <x:c r="F236" s="6" t="str">
        <x:v>Add Percent (rolled magnitude replaces this default)</x:v>
      </x:c>
      <x:c r="G236" s="6" t="str">
        <x:v>/Game/HeavensDivide/Upgrades/Global/DA_Upgrade_GlobalMaxHealth</x:v>
      </x:c>
      <x:c r="H236" s="6" t="str">
        <x:v>Source/HeavensDivide/PlayerUpgradeStats.cpp:154</x:v>
      </x:c>
    </x:row>
    <x:row r="237" ht="38" customHeight="1">
      <x:c r="A237" s="6" t="str">
        <x:v>Shared</x:v>
      </x:c>
      <x:c r="B237" s="6" t="str">
        <x:v>GlobalMovespeed</x:v>
      </x:c>
      <x:c r="C237" s="6" t="str">
        <x:v>Stat[0] Shared Player Move Speed Multiplier</x:v>
      </x:c>
      <x:c r="D237" s="14" t="n">
        <x:v>0.05</x:v>
      </x:c>
      <x:c r="E237" s="6" t="str">
        <x:v>stat value</x:v>
      </x:c>
      <x:c r="F237" s="6" t="str">
        <x:v>Add Percent (rolled magnitude replaces this default)</x:v>
      </x:c>
      <x:c r="G237" s="6" t="str">
        <x:v>/Game/HeavensDivide/Upgrades/Global/DA_Upgrade_GlobalMoveSpeed</x:v>
      </x:c>
      <x:c r="H237" s="6" t="str">
        <x:v>Source/HeavensDivide/PlayerUpgradeStats.cpp:154</x:v>
      </x:c>
    </x:row>
    <x:row r="238" ht="38" customHeight="1">
      <x:c r="A238" s="6" t="str">
        <x:v>Shared</x:v>
      </x:c>
      <x:c r="B238" s="6" t="str">
        <x:v>GlobalPickupRadius</x:v>
      </x:c>
      <x:c r="C238" s="6" t="str">
        <x:v>Stat[0] Shared Player Pickup Radius Multiplier</x:v>
      </x:c>
      <x:c r="D238" s="20" t="n">
        <x:v>0.3</x:v>
      </x:c>
      <x:c r="E238" s="6" t="str">
        <x:v>stat value</x:v>
      </x:c>
      <x:c r="F238" s="6" t="str">
        <x:v>Add Percent (rolled magnitude replaces this default)</x:v>
      </x:c>
      <x:c r="G238" s="6" t="str">
        <x:v>/Game/HeavensDivide/Upgrades/Global/DA_Upgrade_GlobalPickupRadius</x:v>
      </x:c>
      <x:c r="H238" s="6" t="str">
        <x:v>Source/HeavensDivide/PlayerUpgradeStats.cpp:154</x:v>
      </x:c>
    </x:row>
    <x:row r="239" ht="30" customHeight="1">
      <x:c r="A239" s="6" t="str">
        <x:v>Shared</x:v>
      </x:c>
      <x:c r="B239" s="6" t="str">
        <x:v>GrandEntrance</x:v>
      </x:c>
      <x:c r="C239" s="6" t="str">
        <x:v>NinjaBonusProjectiles</x:v>
      </x:c>
      <x:c r="D239" s="13" t="n">
        <x:v>8</x:v>
      </x:c>
      <x:c r="E239" s="6" t="str">
        <x:v>count / cadence</x:v>
      </x:c>
      <x:c r="F239" s="6" t="str">
        <x:v>Saved asset value; overrides fallback</x:v>
      </x:c>
      <x:c r="G239" s="6" t="str">
        <x:v>/Game/HeavensDivide/Upgrades/Synergy/DA_Synergy_GrandEntrance</x:v>
      </x:c>
      <x:c r="H239" s="6" t="str">
        <x:v>Source/HeavensDivide/AutoAttackComponent.cpp:1276</x:v>
      </x:c>
    </x:row>
    <x:row r="240" ht="30" customHeight="1">
      <x:c r="A240" s="6" t="str">
        <x:v>Shared</x:v>
      </x:c>
      <x:c r="B240" s="6" t="str">
        <x:v>GrandEntrance</x:v>
      </x:c>
      <x:c r="C240" s="6" t="str">
        <x:v>NinjaFanAngle</x:v>
      </x:c>
      <x:c r="D240" s="13" t="n">
        <x:v>100</x:v>
      </x:c>
      <x:c r="E240" s="6" t="str">
        <x:v>degrees</x:v>
      </x:c>
      <x:c r="F240" s="6" t="str">
        <x:v>Saved asset value; overrides fallback</x:v>
      </x:c>
      <x:c r="G240" s="6" t="str">
        <x:v>/Game/HeavensDivide/Upgrades/Synergy/DA_Synergy_GrandEntrance</x:v>
      </x:c>
      <x:c r="H240" s="6" t="str">
        <x:v>Source/HeavensDivide/AutoAttackComponent.cpp:1276</x:v>
      </x:c>
    </x:row>
    <x:row r="241" ht="30" customHeight="1">
      <x:c r="A241" s="6" t="str">
        <x:v>Shared</x:v>
      </x:c>
      <x:c r="B241" s="6" t="str">
        <x:v>GrandEntrance</x:v>
      </x:c>
      <x:c r="C241" s="6" t="str">
        <x:v>SamuraiRadius</x:v>
      </x:c>
      <x:c r="D241" s="13" t="n">
        <x:v>600</x:v>
      </x:c>
      <x:c r="E241" s="6" t="str">
        <x:v>cm</x:v>
      </x:c>
      <x:c r="F241" s="6" t="str">
        <x:v>Saved asset value; overrides fallback</x:v>
      </x:c>
      <x:c r="G241" s="6" t="str">
        <x:v>/Game/HeavensDivide/Upgrades/Synergy/DA_Synergy_GrandEntrance</x:v>
      </x:c>
      <x:c r="H241" s="6" t="str">
        <x:v>Source/HeavensDivide/AutoAttackComponent.cpp:1276</x:v>
      </x:c>
    </x:row>
    <x:row r="242" ht="38" customHeight="1">
      <x:c r="A242" s="6" t="str">
        <x:v>Shared</x:v>
      </x:c>
      <x:c r="B242" s="6" t="str">
        <x:v>Handoff</x:v>
      </x:c>
      <x:c r="C242" s="6" t="str">
        <x:v>handoff_attack_speed_bonus</x:v>
      </x:c>
      <x:c r="D242" s="21" t="n">
        <x:v>0.4000000059604645</x:v>
      </x:c>
      <x:c r="E242" s="6" t="str">
        <x:v>fraction</x:v>
      </x:c>
      <x:c r="F242" s="6" t="str">
        <x:v>Dedicated saved property</x:v>
      </x:c>
      <x:c r="G242" s="6" t="str">
        <x:v>/Game/HeavensDivide/Upgrades/Synergy/DA_Synergy_Handoff</x:v>
      </x:c>
      <x:c r="H242" s="6" t="str">
        <x:v>Source/HeavensDivide/PlayerUpgradeSelection.cpp:1</x:v>
      </x:c>
    </x:row>
    <x:row r="243" ht="30" customHeight="1">
      <x:c r="A243" s="6" t="str">
        <x:v>Shared</x:v>
      </x:c>
      <x:c r="B243" s="6" t="str">
        <x:v>Handoff</x:v>
      </x:c>
      <x:c r="C243" s="6" t="str">
        <x:v>handoff_duration</x:v>
      </x:c>
      <x:c r="D243" s="13" t="n">
        <x:v>2</x:v>
      </x:c>
      <x:c r="E243" s="6" t="str">
        <x:v>s</x:v>
      </x:c>
      <x:c r="F243" s="6" t="str">
        <x:v>Dedicated saved property</x:v>
      </x:c>
      <x:c r="G243" s="6" t="str">
        <x:v>/Game/HeavensDivide/Upgrades/Synergy/DA_Synergy_Handoff</x:v>
      </x:c>
      <x:c r="H243" s="6" t="str">
        <x:v>Source/HeavensDivide/PlayerUpgradeSelection.cpp:1</x:v>
      </x:c>
    </x:row>
    <x:row r="244" ht="30" customHeight="1">
      <x:c r="A244" s="6" t="str">
        <x:v>Shared</x:v>
      </x:c>
      <x:c r="B244" s="6" t="str">
        <x:v>MarkedBlade</x:v>
      </x:c>
      <x:c r="C244" s="6" t="str">
        <x:v>NinjaDamageMultiplier</x:v>
      </x:c>
      <x:c r="D244" s="13" t="n">
        <x:v>2</x:v>
      </x:c>
      <x:c r="E244" s="6" t="str">
        <x:v>raw numeric</x:v>
      </x:c>
      <x:c r="F244" s="6" t="str">
        <x:v>Saved asset value; overrides fallback</x:v>
      </x:c>
      <x:c r="G244" s="6" t="str">
        <x:v>/Game/HeavensDivide/Upgrades/Synergy/DA_Upgrade_SamuraiApplyMarks</x:v>
      </x:c>
      <x:c r="H244" s="6" t="str">
        <x:v>Source/HeavensDivide/PlayerUpgradeComponent.cpp:46</x:v>
      </x:c>
    </x:row>
    <x:row r="245" ht="30" customHeight="1">
      <x:c r="A245" s="6" t="str">
        <x:v>Shared</x:v>
      </x:c>
      <x:c r="B245" s="6" t="str">
        <x:v>SynergySwapRestoresDashCharge</x:v>
      </x:c>
      <x:c r="C245" s="6" t="str">
        <x:v>ChargesRestored</x:v>
      </x:c>
      <x:c r="D245" s="13" t="n">
        <x:v>1</x:v>
      </x:c>
      <x:c r="E245" s="6" t="str">
        <x:v>count / cadence</x:v>
      </x:c>
      <x:c r="F245" s="6" t="str">
        <x:v>Saved asset value; overrides fallback</x:v>
      </x:c>
      <x:c r="G245" s="6" t="str">
        <x:v>/Game/HeavensDivide/Upgrades/Synergy/DA_Synergy_SwapRestoresDashCharge</x:v>
      </x:c>
      <x:c r="H245" s="6" t="str">
        <x:v>Source/HeavensDivide/PlayerUpgradeComponent.cpp:46</x:v>
      </x:c>
    </x:row>
    <x:row r="246" ht="30" customHeight="1">
      <x:c r="A246" s="6" t="str">
        <x:v>Shared</x:v>
      </x:c>
      <x:c r="B246" s="6" t="str">
        <x:v>TagTeam</x:v>
      </x:c>
      <x:c r="C246" s="6" t="str">
        <x:v>ConeHalfAngle</x:v>
      </x:c>
      <x:c r="D246" s="22" t="n">
        <x:v>69.51268</x:v>
      </x:c>
      <x:c r="E246" s="6" t="str">
        <x:v>degrees</x:v>
      </x:c>
      <x:c r="F246" s="6" t="str">
        <x:v>Saved asset value; overrides fallback</x:v>
      </x:c>
      <x:c r="G246" s="6" t="str">
        <x:v>/Game/HeavensDivide/Upgrades/Synergy/DA_Synergy_TagTeam</x:v>
      </x:c>
      <x:c r="H246" s="6" t="str">
        <x:v>Source/HeavensDivide/InactiveCharacterAssistComponent.cpp:319</x:v>
      </x:c>
    </x:row>
    <x:row r="247" ht="30" customHeight="1">
      <x:c r="A247" s="6" t="str">
        <x:v>Shared</x:v>
      </x:c>
      <x:c r="B247" s="6" t="str">
        <x:v>TagTeam</x:v>
      </x:c>
      <x:c r="C247" s="6" t="str">
        <x:v>NinjaDamage</x:v>
      </x:c>
      <x:c r="D247" s="13" t="n">
        <x:v>10</x:v>
      </x:c>
      <x:c r="E247" s="6" t="str">
        <x:v>raw numeric</x:v>
      </x:c>
      <x:c r="F247" s="6" t="str">
        <x:v>Saved asset value; overrides fallback</x:v>
      </x:c>
      <x:c r="G247" s="6" t="str">
        <x:v>/Game/HeavensDivide/Upgrades/Synergy/DA_Synergy_TagTeam</x:v>
      </x:c>
      <x:c r="H247" s="6" t="str">
        <x:v>Source/HeavensDivide/InactiveCharacterAssistComponent.cpp:319</x:v>
      </x:c>
    </x:row>
    <x:row r="248" ht="30" customHeight="1">
      <x:c r="A248" s="6" t="str">
        <x:v>Shared</x:v>
      </x:c>
      <x:c r="B248" s="6" t="str">
        <x:v>TagTeam</x:v>
      </x:c>
      <x:c r="C248" s="6" t="str">
        <x:v>NinjaRange</x:v>
      </x:c>
      <x:c r="D248" s="13" t="n">
        <x:v>1000</x:v>
      </x:c>
      <x:c r="E248" s="6" t="str">
        <x:v>cm</x:v>
      </x:c>
      <x:c r="F248" s="6" t="str">
        <x:v>Saved asset value; overrides fallback</x:v>
      </x:c>
      <x:c r="G248" s="6" t="str">
        <x:v>/Game/HeavensDivide/Upgrades/Synergy/DA_Synergy_TagTeam</x:v>
      </x:c>
      <x:c r="H248" s="6" t="str">
        <x:v>Source/HeavensDivide/InactiveCharacterAssistComponent.cpp:319</x:v>
      </x:c>
    </x:row>
    <x:row r="249" ht="30" customHeight="1">
      <x:c r="A249" s="6" t="str">
        <x:v>Shared</x:v>
      </x:c>
      <x:c r="B249" s="6" t="str">
        <x:v>TagTeam</x:v>
      </x:c>
      <x:c r="C249" s="6" t="str">
        <x:v>NinjaTargets</x:v>
      </x:c>
      <x:c r="D249" s="13" t="n">
        <x:v>5</x:v>
      </x:c>
      <x:c r="E249" s="6" t="str">
        <x:v>count / cadence</x:v>
      </x:c>
      <x:c r="F249" s="6" t="str">
        <x:v>Saved asset value; overrides fallback</x:v>
      </x:c>
      <x:c r="G249" s="6" t="str">
        <x:v>/Game/HeavensDivide/Upgrades/Synergy/DA_Synergy_TagTeam</x:v>
      </x:c>
      <x:c r="H249" s="6" t="str">
        <x:v>Source/HeavensDivide/InactiveCharacterAssistComponent.cpp:319</x:v>
      </x:c>
    </x:row>
    <x:row r="250" ht="30" customHeight="1">
      <x:c r="A250" s="6" t="str">
        <x:v>Shared</x:v>
      </x:c>
      <x:c r="B250" s="6" t="str">
        <x:v>TagTeam</x:v>
      </x:c>
      <x:c r="C250" s="6" t="str">
        <x:v>PushDistance</x:v>
      </x:c>
      <x:c r="D250" s="13" t="n">
        <x:v>65</x:v>
      </x:c>
      <x:c r="E250" s="6" t="str">
        <x:v>cm</x:v>
      </x:c>
      <x:c r="F250" s="6" t="str">
        <x:v>Saved asset value; overrides fallback</x:v>
      </x:c>
      <x:c r="G250" s="6" t="str">
        <x:v>/Game/HeavensDivide/Upgrades/Synergy/DA_Synergy_TagTeam</x:v>
      </x:c>
      <x:c r="H250" s="6" t="str">
        <x:v>Source/HeavensDivide/InactiveCharacterAssistComponent.cpp:319</x:v>
      </x:c>
    </x:row>
    <x:row r="251" ht="30" customHeight="1">
      <x:c r="A251" s="6" t="str">
        <x:v>Shared</x:v>
      </x:c>
      <x:c r="B251" s="6" t="str">
        <x:v>TagTeam</x:v>
      </x:c>
      <x:c r="C251" s="6" t="str">
        <x:v>PushDuration</x:v>
      </x:c>
      <x:c r="D251" s="14" t="n">
        <x:v>0.15</x:v>
      </x:c>
      <x:c r="E251" s="6" t="str">
        <x:v>s</x:v>
      </x:c>
      <x:c r="F251" s="6" t="str">
        <x:v>Saved asset value; overrides fallback</x:v>
      </x:c>
      <x:c r="G251" s="6" t="str">
        <x:v>/Game/HeavensDivide/Upgrades/Synergy/DA_Synergy_TagTeam</x:v>
      </x:c>
      <x:c r="H251" s="6" t="str">
        <x:v>Source/HeavensDivide/InactiveCharacterAssistComponent.cpp:319</x:v>
      </x:c>
    </x:row>
    <x:row r="252" ht="30" customHeight="1">
      <x:c r="A252" s="6" t="str">
        <x:v>Shared</x:v>
      </x:c>
      <x:c r="B252" s="6" t="str">
        <x:v>TagTeam</x:v>
      </x:c>
      <x:c r="C252" s="6" t="str">
        <x:v>SamuraiDamage</x:v>
      </x:c>
      <x:c r="D252" s="13" t="n">
        <x:v>12</x:v>
      </x:c>
      <x:c r="E252" s="6" t="str">
        <x:v>raw numeric</x:v>
      </x:c>
      <x:c r="F252" s="6" t="str">
        <x:v>Saved asset value; overrides fallback</x:v>
      </x:c>
      <x:c r="G252" s="6" t="str">
        <x:v>/Game/HeavensDivide/Upgrades/Synergy/DA_Synergy_TagTeam</x:v>
      </x:c>
      <x:c r="H252" s="6" t="str">
        <x:v>Source/HeavensDivide/InactiveCharacterAssistComponent.cpp:319</x:v>
      </x:c>
    </x:row>
    <x:row r="253" ht="30" customHeight="1">
      <x:c r="A253" s="6" t="str">
        <x:v>Shared</x:v>
      </x:c>
      <x:c r="B253" s="6" t="str">
        <x:v>TagTeam</x:v>
      </x:c>
      <x:c r="C253" s="6" t="str">
        <x:v>SamuraiRange</x:v>
      </x:c>
      <x:c r="D253" s="13" t="n">
        <x:v>420</x:v>
      </x:c>
      <x:c r="E253" s="6" t="str">
        <x:v>cm</x:v>
      </x:c>
      <x:c r="F253" s="6" t="str">
        <x:v>Saved asset value; overrides fallback</x:v>
      </x:c>
      <x:c r="G253" s="6" t="str">
        <x:v>/Game/HeavensDivide/Upgrades/Synergy/DA_Synergy_TagTeam</x:v>
      </x:c>
      <x:c r="H253" s="6" t="str">
        <x:v>Source/HeavensDivide/InactiveCharacterAssistComponent.cpp:319</x:v>
      </x:c>
    </x:row>
    <x:row r="254" ht="30" customHeight="1">
      <x:c r="A254" s="6" t="str">
        <x:v>Shared</x:v>
      </x:c>
      <x:c r="B254" s="6" t="str">
        <x:v>TagTeam</x:v>
      </x:c>
      <x:c r="C254" s="6" t="str">
        <x:v>SamuraiTargets</x:v>
      </x:c>
      <x:c r="D254" s="13" t="n">
        <x:v>12</x:v>
      </x:c>
      <x:c r="E254" s="6" t="str">
        <x:v>count / cadence</x:v>
      </x:c>
      <x:c r="F254" s="6" t="str">
        <x:v>Saved asset value; overrides fallback</x:v>
      </x:c>
      <x:c r="G254" s="6" t="str">
        <x:v>/Game/HeavensDivide/Upgrades/Synergy/DA_Synergy_TagTeam</x:v>
      </x:c>
      <x:c r="H254" s="6" t="str">
        <x:v>Source/HeavensDivide/InactiveCharacterAssistComponent.cpp:319</x:v>
      </x:c>
    </x:row>
    <x:row r="255" ht="38" customHeight="1">
      <x:c r="A255" s="6" t="str">
        <x:v>Legacy Ninja</x:v>
      </x:c>
      <x:c r="B255" s="6" t="str">
        <x:v>EmbeddedBlades</x:v>
      </x:c>
      <x:c r="C255" s="6" t="str">
        <x:v>DamageFraction</x:v>
      </x:c>
      <x:c r="D255" s="20" t="n">
        <x:v>0.4</x:v>
      </x:c>
      <x:c r="E255" s="6" t="str">
        <x:v>ratio / multiplier</x:v>
      </x:c>
      <x:c r="F255" s="6" t="str">
        <x:v>Saved asset value; overrides fallback</x:v>
      </x:c>
      <x:c r="G255" s="6" t="str">
        <x:v>/Game/HeavensDivide/Upgrades/Ninja/DA_Upgrade_NinjaEmbeddedBlades</x:v>
      </x:c>
      <x:c r="H255" s="6" t="str">
        <x:v>Source/HeavensDivide/FangBuild.cpp:15</x:v>
      </x:c>
    </x:row>
    <x:row r="256" ht="30" customHeight="1">
      <x:c r="A256" s="6" t="str">
        <x:v>Legacy Ninja</x:v>
      </x:c>
      <x:c r="B256" s="6" t="str">
        <x:v>EmbeddedBlades</x:v>
      </x:c>
      <x:c r="C256" s="6" t="str">
        <x:v>Range</x:v>
      </x:c>
      <x:c r="D256" s="13" t="n">
        <x:v>700</x:v>
      </x:c>
      <x:c r="E256" s="6" t="str">
        <x:v>cm</x:v>
      </x:c>
      <x:c r="F256" s="6" t="str">
        <x:v>Saved asset value; overrides fallback</x:v>
      </x:c>
      <x:c r="G256" s="6" t="str">
        <x:v>/Game/HeavensDivide/Upgrades/Ninja/DA_Upgrade_NinjaEmbeddedBlades</x:v>
      </x:c>
      <x:c r="H256" s="6" t="str">
        <x:v>Source/HeavensDivide/FangBuild.cpp:15</x:v>
      </x:c>
    </x:row>
    <x:row r="257" ht="30" customHeight="1">
      <x:c r="A257" s="6" t="str">
        <x:v>Legacy Ninja</x:v>
      </x:c>
      <x:c r="B257" s="6" t="str">
        <x:v>NinjaCoverage</x:v>
      </x:c>
      <x:c r="C257" s="6" t="str">
        <x:v>PerRank</x:v>
      </x:c>
      <x:c r="D257" s="14" t="n">
        <x:v>0.15</x:v>
      </x:c>
      <x:c r="E257" s="6" t="str">
        <x:v>card-specific</x:v>
      </x:c>
      <x:c r="F257" s="6" t="str">
        <x:v>Bypassed by accumulated rarity magnitudes</x:v>
      </x:c>
      <x:c r="G257" s="6" t="str">
        <x:v>/Game/HeavensDivide/Upgrades/Ninja/DA_Upgrade_NinjaCoverage</x:v>
      </x:c>
      <x:c r="H257" s="6" t="str">
        <x:v>Source/HeavensDivide/PlayerUpgradeComponent.cpp:66</x:v>
      </x:c>
    </x:row>
    <x:row r="258" ht="30" customHeight="1">
      <x:c r="A258" s="6" t="str">
        <x:v>Legacy Ninja</x:v>
      </x:c>
      <x:c r="B258" s="6" t="str">
        <x:v>NinjaDamage</x:v>
      </x:c>
      <x:c r="C258" s="6" t="str">
        <x:v>PerRank</x:v>
      </x:c>
      <x:c r="D258" s="20" t="n">
        <x:v>0.2</x:v>
      </x:c>
      <x:c r="E258" s="6" t="str">
        <x:v>card-specific</x:v>
      </x:c>
      <x:c r="F258" s="6" t="str">
        <x:v>Bypassed by accumulated rarity magnitudes</x:v>
      </x:c>
      <x:c r="G258" s="6" t="str">
        <x:v>/Game/HeavensDivide/Upgrades/Ninja/DA_Upgrade_NinjaDamage</x:v>
      </x:c>
      <x:c r="H258" s="6" t="str">
        <x:v>Source/HeavensDivide/PlayerUpgradeComponent.cpp:66</x:v>
      </x:c>
    </x:row>
    <x:row r="259" ht="30" customHeight="1">
      <x:c r="A259" s="6" t="str">
        <x:v>Legacy Ninja</x:v>
      </x:c>
      <x:c r="B259" s="6" t="str">
        <x:v>NinjaSpeed</x:v>
      </x:c>
      <x:c r="C259" s="6" t="str">
        <x:v>PerRank</x:v>
      </x:c>
      <x:c r="D259" s="14" t="n">
        <x:v>0.15</x:v>
      </x:c>
      <x:c r="E259" s="6" t="str">
        <x:v>card-specific</x:v>
      </x:c>
      <x:c r="F259" s="6" t="str">
        <x:v>Bypassed by accumulated rarity magnitudes</x:v>
      </x:c>
      <x:c r="G259" s="6" t="str">
        <x:v>/Game/HeavensDivide/Upgrades/Ninja/DA_Upgrade_NinjaSpeed</x:v>
      </x:c>
      <x:c r="H259" s="6" t="str">
        <x:v>Source/HeavensDivide/PlayerUpgradeComponent.cpp:66</x:v>
      </x:c>
    </x:row>
    <x:row r="260" ht="30" customHeight="1">
      <x:c r="A260" s="6" t="str">
        <x:v>Legacy Ninja</x:v>
      </x:c>
      <x:c r="B260" s="6" t="str">
        <x:v>ShadowStep</x:v>
      </x:c>
      <x:c r="C260" s="6" t="str">
        <x:v>AttackRange</x:v>
      </x:c>
      <x:c r="D260" s="13" t="n">
        <x:v>1200</x:v>
      </x:c>
      <x:c r="E260" s="6" t="str">
        <x:v>raw numeric</x:v>
      </x:c>
      <x:c r="F260" s="6" t="str">
        <x:v>Saved asset value; overrides fallback</x:v>
      </x:c>
      <x:c r="G260" s="6" t="str">
        <x:v>/Game/HeavensDivide/Upgrades/Ninja/DA_Upgrade_NinjaShadowStep</x:v>
      </x:c>
      <x:c r="H260" s="6" t="str">
        <x:v>Source/HeavensDivide/FangBuild.cpp:14</x:v>
      </x:c>
    </x:row>
    <x:row r="261" ht="30" customHeight="1">
      <x:c r="A261" s="6" t="str">
        <x:v>Legacy Ninja</x:v>
      </x:c>
      <x:c r="B261" s="6" t="str">
        <x:v>ShadowStep</x:v>
      </x:c>
      <x:c r="C261" s="6" t="str">
        <x:v>BaseAttackInterval</x:v>
      </x:c>
      <x:c r="D261" s="13" t="n">
        <x:v>1</x:v>
      </x:c>
      <x:c r="E261" s="6" t="str">
        <x:v>s</x:v>
      </x:c>
      <x:c r="F261" s="6" t="str">
        <x:v>Saved asset value; overrides fallback</x:v>
      </x:c>
      <x:c r="G261" s="6" t="str">
        <x:v>/Game/HeavensDivide/Upgrades/Ninja/DA_Upgrade_NinjaShadowStep</x:v>
      </x:c>
      <x:c r="H261" s="6" t="str">
        <x:v>Source/HeavensDivide/FangBuild.cpp:14</x:v>
      </x:c>
    </x:row>
    <x:row r="262" ht="30" customHeight="1">
      <x:c r="A262" s="6" t="str">
        <x:v>Legacy Ninja</x:v>
      </x:c>
      <x:c r="B262" s="6" t="str">
        <x:v>ShadowStep</x:v>
      </x:c>
      <x:c r="C262" s="6" t="str">
        <x:v>BaseAttacks</x:v>
      </x:c>
      <x:c r="D262" s="13" t="n">
        <x:v>1</x:v>
      </x:c>
      <x:c r="E262" s="6" t="str">
        <x:v>count / cadence</x:v>
      </x:c>
      <x:c r="F262" s="6" t="str">
        <x:v>Saved asset value; overrides fallback</x:v>
      </x:c>
      <x:c r="G262" s="6" t="str">
        <x:v>/Game/HeavensDivide/Upgrades/Ninja/DA_Upgrade_NinjaShadowStep</x:v>
      </x:c>
      <x:c r="H262" s="6" t="str">
        <x:v>Source/HeavensDivide/FangBuild.cpp:14</x:v>
      </x:c>
    </x:row>
    <x:row r="263" ht="30" customHeight="1">
      <x:c r="A263" s="6" t="str">
        <x:v>Legacy Ninja</x:v>
      </x:c>
      <x:c r="B263" s="6" t="str">
        <x:v>ShadowStep</x:v>
      </x:c>
      <x:c r="C263" s="6" t="str">
        <x:v>InitialAttackDelay</x:v>
      </x:c>
      <x:c r="D263" s="20" t="n">
        <x:v>0.2</x:v>
      </x:c>
      <x:c r="E263" s="6" t="str">
        <x:v>s</x:v>
      </x:c>
      <x:c r="F263" s="6" t="str">
        <x:v>Saved asset value; overrides fallback</x:v>
      </x:c>
      <x:c r="G263" s="6" t="str">
        <x:v>/Game/HeavensDivide/Upgrades/Ninja/DA_Upgrade_NinjaShadowStep</x:v>
      </x:c>
      <x:c r="H263" s="6" t="str">
        <x:v>Source/HeavensDivide/FangBuild.cpp:14</x:v>
      </x:c>
    </x:row>
    <x:row r="264" ht="30" customHeight="1">
      <x:c r="A264" s="6" t="str">
        <x:v>Legacy Ninja</x:v>
      </x:c>
      <x:c r="B264" s="6" t="str">
        <x:v>ShadowStep</x:v>
      </x:c>
      <x:c r="C264" s="6" t="str">
        <x:v>PostAttackLingerDuration</x:v>
      </x:c>
      <x:c r="D264" s="20" t="n">
        <x:v>0.6</x:v>
      </x:c>
      <x:c r="E264" s="6" t="str">
        <x:v>s</x:v>
      </x:c>
      <x:c r="F264" s="6" t="str">
        <x:v>Saved asset value; overrides fallback</x:v>
      </x:c>
      <x:c r="G264" s="6" t="str">
        <x:v>/Game/HeavensDivide/Upgrades/Ninja/DA_Upgrade_NinjaShadowStep</x:v>
      </x:c>
      <x:c r="H264" s="6" t="str">
        <x:v>Source/HeavensDivide/FangBuild.cpp:14</x:v>
      </x:c>
    </x:row>
    <x:row r="265" ht="30" customHeight="1">
      <x:c r="A265" s="6" t="str">
        <x:v>Legacy Ninja</x:v>
      </x:c>
      <x:c r="B265" s="6" t="str">
        <x:v>ShadowStep</x:v>
      </x:c>
      <x:c r="C265" s="6" t="str">
        <x:v>SafetyLifetime</x:v>
      </x:c>
      <x:c r="D265" s="13" t="n">
        <x:v>10</x:v>
      </x:c>
      <x:c r="E265" s="6" t="str">
        <x:v>raw numeric</x:v>
      </x:c>
      <x:c r="F265" s="6" t="str">
        <x:v>Saved asset value; overrides fallback</x:v>
      </x:c>
      <x:c r="G265" s="6" t="str">
        <x:v>/Game/HeavensDivide/Upgrades/Ninja/DA_Upgrade_NinjaShadowStep</x:v>
      </x:c>
      <x:c r="H265" s="6" t="str">
        <x:v>Source/HeavensDivide/FangBuild.cpp:14</x:v>
      </x:c>
    </x:row>
    <x:row r="266" ht="30" customHeight="1">
      <x:c r="A266" s="6" t="str">
        <x:v>Legacy Ninja</x:v>
      </x:c>
      <x:c r="B266" s="6" t="str">
        <x:v>ShadowStep</x:v>
      </x:c>
      <x:c r="C266" s="6" t="str">
        <x:v>TargetRetryInterval</x:v>
      </x:c>
      <x:c r="D266" s="14" t="n">
        <x:v>0.25</x:v>
      </x:c>
      <x:c r="E266" s="6" t="str">
        <x:v>s</x:v>
      </x:c>
      <x:c r="F266" s="6" t="str">
        <x:v>Saved asset value; overrides fallback</x:v>
      </x:c>
      <x:c r="G266" s="6" t="str">
        <x:v>/Game/HeavensDivide/Upgrades/Ninja/DA_Upgrade_NinjaShadowStep</x:v>
      </x:c>
      <x:c r="H266" s="6" t="str">
        <x:v>Source/HeavensDivide/FangBuild.cpp:14</x:v>
      </x:c>
    </x:row>
    <x:row r="267" ht="38" customHeight="1">
      <x:c r="A267" s="6" t="str">
        <x:v>Ninja</x:v>
      </x:c>
      <x:c r="B267" s="6" t="str">
        <x:v>BP_Ninja</x:v>
      </x:c>
      <x:c r="C267" s="6" t="str">
        <x:v>AttackDamage</x:v>
      </x:c>
      <x:c r="D267" s="13" t="n">
        <x:v>10</x:v>
      </x:c>
      <x:c r="E267" s="6" t="str">
        <x:v>raw numeric</x:v>
      </x:c>
      <x:c r="F267" s="6" t="str">
        <x:v>Saved AutoAttackComponent default; stance parameters may override</x:v>
      </x:c>
      <x:c r="G267" s="6" t="str">
        <x:v>/Game/HeavensDivide/Blueprints/PlayerCharacters/BP_Ninja</x:v>
      </x:c>
      <x:c r="H267" s="6" t="str">
        <x:v>Source/HeavensDivide/AutoAttackComponent.h:127</x:v>
      </x:c>
    </x:row>
    <x:row r="268" ht="38" customHeight="1">
      <x:c r="A268" s="6" t="str">
        <x:v>Ninja</x:v>
      </x:c>
      <x:c r="B268" s="6" t="str">
        <x:v>BP_Ninja</x:v>
      </x:c>
      <x:c r="C268" s="6" t="str">
        <x:v>AttackForwardOffset</x:v>
      </x:c>
      <x:c r="D268" s="13" t="n">
        <x:v>120</x:v>
      </x:c>
      <x:c r="E268" s="6" t="str">
        <x:v>raw numeric</x:v>
      </x:c>
      <x:c r="F268" s="6" t="str">
        <x:v>Saved AutoAttackComponent default; stance parameters may override</x:v>
      </x:c>
      <x:c r="G268" s="6" t="str">
        <x:v>/Game/HeavensDivide/Blueprints/PlayerCharacters/BP_Ninja</x:v>
      </x:c>
      <x:c r="H268" s="6" t="str">
        <x:v>Source/HeavensDivide/AutoAttackComponent.h:258</x:v>
      </x:c>
    </x:row>
    <x:row r="269" ht="38" customHeight="1">
      <x:c r="A269" s="6" t="str">
        <x:v>Ninja</x:v>
      </x:c>
      <x:c r="B269" s="6" t="str">
        <x:v>BP_Ninja</x:v>
      </x:c>
      <x:c r="C269" s="6" t="str">
        <x:v>AttackInterval</x:v>
      </x:c>
      <x:c r="D269" s="20" t="n">
        <x:v>1.2</x:v>
      </x:c>
      <x:c r="E269" s="6" t="str">
        <x:v>s</x:v>
      </x:c>
      <x:c r="F269" s="6" t="str">
        <x:v>Saved AutoAttackComponent default; stance parameters may override</x:v>
      </x:c>
      <x:c r="G269" s="6" t="str">
        <x:v>/Game/HeavensDivide/Blueprints/PlayerCharacters/BP_Ninja</x:v>
      </x:c>
      <x:c r="H269" s="6" t="str">
        <x:v>Source/HeavensDivide/AutoAttackComponent.h:99</x:v>
      </x:c>
    </x:row>
    <x:row r="270" ht="38" customHeight="1">
      <x:c r="A270" s="6" t="str">
        <x:v>Ninja</x:v>
      </x:c>
      <x:c r="B270" s="6" t="str">
        <x:v>BP_Ninja</x:v>
      </x:c>
      <x:c r="C270" s="6" t="str">
        <x:v>AttackRadius</x:v>
      </x:c>
      <x:c r="D270" s="13" t="n">
        <x:v>120</x:v>
      </x:c>
      <x:c r="E270" s="6" t="str">
        <x:v>raw numeric</x:v>
      </x:c>
      <x:c r="F270" s="6" t="str">
        <x:v>Saved AutoAttackComponent default; stance parameters may override</x:v>
      </x:c>
      <x:c r="G270" s="6" t="str">
        <x:v>/Game/HeavensDivide/Blueprints/PlayerCharacters/BP_Ninja</x:v>
      </x:c>
      <x:c r="H270" s="6" t="str">
        <x:v>Source/HeavensDivide/AutoAttackComponent.h:130</x:v>
      </x:c>
    </x:row>
    <x:row r="271" ht="38" customHeight="1">
      <x:c r="A271" s="6" t="str">
        <x:v>Ninja</x:v>
      </x:c>
      <x:c r="B271" s="6" t="str">
        <x:v>BP_Ninja</x:v>
      </x:c>
      <x:c r="C271" s="6" t="str">
        <x:v>AttackRange</x:v>
      </x:c>
      <x:c r="D271" s="13" t="n">
        <x:v>100</x:v>
      </x:c>
      <x:c r="E271" s="6" t="str">
        <x:v>raw numeric</x:v>
      </x:c>
      <x:c r="F271" s="6" t="str">
        <x:v>Saved AutoAttackComponent default; stance parameters may override</x:v>
      </x:c>
      <x:c r="G271" s="6" t="str">
        <x:v>/Game/HeavensDivide/Blueprints/PlayerCharacters/BP_Ninja</x:v>
      </x:c>
      <x:c r="H271" s="6" t="str">
        <x:v>Source/HeavensDivide/AutoAttackComponent.h:252</x:v>
      </x:c>
    </x:row>
    <x:row r="272" ht="38" customHeight="1">
      <x:c r="A272" s="6" t="str">
        <x:v>Ninja</x:v>
      </x:c>
      <x:c r="B272" s="6" t="str">
        <x:v>BP_Ninja</x:v>
      </x:c>
      <x:c r="C272" s="6" t="str">
        <x:v>BladeWaveBaseWidth</x:v>
      </x:c>
      <x:c r="D272" s="13" t="n">
        <x:v>300</x:v>
      </x:c>
      <x:c r="E272" s="6" t="str">
        <x:v>raw numeric</x:v>
      </x:c>
      <x:c r="F272" s="6" t="str">
        <x:v>Saved AutoAttackComponent default; stance parameters may override</x:v>
      </x:c>
      <x:c r="G272" s="6" t="str">
        <x:v>/Game/HeavensDivide/Blueprints/PlayerCharacters/BP_Ninja</x:v>
      </x:c>
      <x:c r="H272" s="6" t="str">
        <x:v>Source/HeavensDivide/AutoAttackComponent.h:314</x:v>
      </x:c>
    </x:row>
    <x:row r="273" ht="38" customHeight="1">
      <x:c r="A273" s="6" t="str">
        <x:v>Ninja</x:v>
      </x:c>
      <x:c r="B273" s="6" t="str">
        <x:v>BP_Ninja</x:v>
      </x:c>
      <x:c r="C273" s="6" t="str">
        <x:v>BladeWaveDamageMultiplier</x:v>
      </x:c>
      <x:c r="D273" s="14" t="n">
        <x:v>0.65</x:v>
      </x:c>
      <x:c r="E273" s="6" t="str">
        <x:v>raw numeric</x:v>
      </x:c>
      <x:c r="F273" s="6" t="str">
        <x:v>Saved AutoAttackComponent default; stance parameters may override</x:v>
      </x:c>
      <x:c r="G273" s="6" t="str">
        <x:v>/Game/HeavensDivide/Blueprints/PlayerCharacters/BP_Ninja</x:v>
      </x:c>
      <x:c r="H273" s="6" t="str">
        <x:v>Source/HeavensDivide/AutoAttackComponent.h:316</x:v>
      </x:c>
    </x:row>
    <x:row r="274" ht="38" customHeight="1">
      <x:c r="A274" s="6" t="str">
        <x:v>Ninja</x:v>
      </x:c>
      <x:c r="B274" s="6" t="str">
        <x:v>BP_Ninja</x:v>
      </x:c>
      <x:c r="C274" s="6" t="str">
        <x:v>BladeWaveSpeed</x:v>
      </x:c>
      <x:c r="D274" s="13" t="n">
        <x:v>1400</x:v>
      </x:c>
      <x:c r="E274" s="6" t="str">
        <x:v>raw numeric</x:v>
      </x:c>
      <x:c r="F274" s="6" t="str">
        <x:v>Saved AutoAttackComponent default; stance parameters may override</x:v>
      </x:c>
      <x:c r="G274" s="6" t="str">
        <x:v>/Game/HeavensDivide/Blueprints/PlayerCharacters/BP_Ninja</x:v>
      </x:c>
      <x:c r="H274" s="6" t="str">
        <x:v>Source/HeavensDivide/AutoAttackComponent.h:312</x:v>
      </x:c>
    </x:row>
    <x:row r="275" ht="38" customHeight="1">
      <x:c r="A275" s="6" t="str">
        <x:v>Ninja</x:v>
      </x:c>
      <x:c r="B275" s="6" t="str">
        <x:v>BP_Ninja</x:v>
      </x:c>
      <x:c r="C275" s="6" t="str">
        <x:v>BladeWaveTravelDistance</x:v>
      </x:c>
      <x:c r="D275" s="13" t="n">
        <x:v>650</x:v>
      </x:c>
      <x:c r="E275" s="6" t="str">
        <x:v>raw numeric</x:v>
      </x:c>
      <x:c r="F275" s="6" t="str">
        <x:v>Saved AutoAttackComponent default; stance parameters may override</x:v>
      </x:c>
      <x:c r="G275" s="6" t="str">
        <x:v>/Game/HeavensDivide/Blueprints/PlayerCharacters/BP_Ninja</x:v>
      </x:c>
      <x:c r="H275" s="6" t="str">
        <x:v>Source/HeavensDivide/AutoAttackComponent.h:310</x:v>
      </x:c>
    </x:row>
    <x:row r="276" ht="38" customHeight="1">
      <x:c r="A276" s="6" t="str">
        <x:v>Ninja</x:v>
      </x:c>
      <x:c r="B276" s="6" t="str">
        <x:v>BP_Ninja</x:v>
      </x:c>
      <x:c r="C276" s="6" t="str">
        <x:v>BloodDetonationExplosionDelay</x:v>
      </x:c>
      <x:c r="D276" s="13" t="n">
        <x:v>0</x:v>
      </x:c>
      <x:c r="E276" s="6" t="str">
        <x:v>raw numeric</x:v>
      </x:c>
      <x:c r="F276" s="6" t="str">
        <x:v>Saved AutoAttackComponent default; stance parameters may override</x:v>
      </x:c>
      <x:c r="G276" s="6" t="str">
        <x:v>/Game/HeavensDivide/Blueprints/PlayerCharacters/BP_Ninja</x:v>
      </x:c>
      <x:c r="H276" s="6" t="str">
        <x:v>Source/HeavensDivide/AutoAttackComponent.h:382</x:v>
      </x:c>
    </x:row>
    <x:row r="277" ht="38" customHeight="1">
      <x:c r="A277" s="6" t="str">
        <x:v>Ninja</x:v>
      </x:c>
      <x:c r="B277" s="6" t="str">
        <x:v>BP_Ninja</x:v>
      </x:c>
      <x:c r="C277" s="6" t="str">
        <x:v>BloodDetonationVFXReferenceRadius</x:v>
      </x:c>
      <x:c r="D277" s="13" t="n">
        <x:v>300</x:v>
      </x:c>
      <x:c r="E277" s="6" t="str">
        <x:v>raw numeric</x:v>
      </x:c>
      <x:c r="F277" s="6" t="str">
        <x:v>Saved AutoAttackComponent default; stance parameters may override</x:v>
      </x:c>
      <x:c r="G277" s="6" t="str">
        <x:v>/Game/HeavensDivide/Blueprints/PlayerCharacters/BP_Ninja</x:v>
      </x:c>
      <x:c r="H277" s="6" t="str">
        <x:v>Source/HeavensDivide/AutoAttackComponent.h:384</x:v>
      </x:c>
    </x:row>
    <x:row r="278" ht="38" customHeight="1">
      <x:c r="A278" s="6" t="str">
        <x:v>Ninja</x:v>
      </x:c>
      <x:c r="B278" s="6" t="str">
        <x:v>BP_Ninja</x:v>
      </x:c>
      <x:c r="C278" s="6" t="str">
        <x:v>BloodEchoDelay</x:v>
      </x:c>
      <x:c r="D278" s="14" t="n">
        <x:v>0.25</x:v>
      </x:c>
      <x:c r="E278" s="6" t="str">
        <x:v>raw numeric</x:v>
      </x:c>
      <x:c r="F278" s="6" t="str">
        <x:v>Saved AutoAttackComponent default; stance parameters may override</x:v>
      </x:c>
      <x:c r="G278" s="6" t="str">
        <x:v>/Game/HeavensDivide/Blueprints/PlayerCharacters/BP_Ninja</x:v>
      </x:c>
      <x:c r="H278" s="6" t="str">
        <x:v>Source/HeavensDivide/AutoAttackComponent.h:389</x:v>
      </x:c>
    </x:row>
    <x:row r="279" ht="38" customHeight="1">
      <x:c r="A279" s="6" t="str">
        <x:v>Ninja</x:v>
      </x:c>
      <x:c r="B279" s="6" t="str">
        <x:v>BP_Ninja</x:v>
      </x:c>
      <x:c r="C279" s="6" t="str">
        <x:v>CrossingBladeSideAngle</x:v>
      </x:c>
      <x:c r="D279" s="13" t="n">
        <x:v>30</x:v>
      </x:c>
      <x:c r="E279" s="6" t="str">
        <x:v>raw numeric</x:v>
      </x:c>
      <x:c r="F279" s="6" t="str">
        <x:v>Saved AutoAttackComponent default; stance parameters may override</x:v>
      </x:c>
      <x:c r="G279" s="6" t="str">
        <x:v>/Game/HeavensDivide/Blueprints/PlayerCharacters/BP_Ninja</x:v>
      </x:c>
      <x:c r="H279" s="6" t="str">
        <x:v>Source/HeavensDivide/AutoAttackComponent.h:318</x:v>
      </x:c>
    </x:row>
    <x:row r="280" ht="38" customHeight="1">
      <x:c r="A280" s="6" t="str">
        <x:v>Ninja</x:v>
      </x:c>
      <x:c r="B280" s="6" t="str">
        <x:v>BP_Ninja</x:v>
      </x:c>
      <x:c r="C280" s="6" t="str">
        <x:v>CrossingBladeWaveDelay</x:v>
      </x:c>
      <x:c r="D280" s="14" t="n">
        <x:v>0.12</x:v>
      </x:c>
      <x:c r="E280" s="6" t="str">
        <x:v>raw numeric</x:v>
      </x:c>
      <x:c r="F280" s="6" t="str">
        <x:v>Saved AutoAttackComponent default; stance parameters may override</x:v>
      </x:c>
      <x:c r="G280" s="6" t="str">
        <x:v>/Game/HeavensDivide/Blueprints/PlayerCharacters/BP_Ninja</x:v>
      </x:c>
      <x:c r="H280" s="6" t="str">
        <x:v>Source/HeavensDivide/AutoAttackComponent.h:320</x:v>
      </x:c>
    </x:row>
    <x:row r="281" ht="38" customHeight="1">
      <x:c r="A281" s="6" t="str">
        <x:v>Ninja</x:v>
      </x:c>
      <x:c r="B281" s="6" t="str">
        <x:v>BP_Ninja</x:v>
      </x:c>
      <x:c r="C281" s="6" t="str">
        <x:v>DoubleCutPrimaryAttackCount</x:v>
      </x:c>
      <x:c r="D281" s="13" t="n">
        <x:v>3</x:v>
      </x:c>
      <x:c r="E281" s="6" t="str">
        <x:v>raw numeric</x:v>
      </x:c>
      <x:c r="F281" s="6" t="str">
        <x:v>Saved AutoAttackComponent default; stance parameters may override</x:v>
      </x:c>
      <x:c r="G281" s="6" t="str">
        <x:v>/Game/HeavensDivide/Blueprints/PlayerCharacters/BP_Ninja</x:v>
      </x:c>
      <x:c r="H281" s="6" t="str">
        <x:v>Source/HeavensDivide/AutoAttackComponent.h:295</x:v>
      </x:c>
    </x:row>
    <x:row r="282" ht="38" customHeight="1">
      <x:c r="A282" s="6" t="str">
        <x:v>Ninja</x:v>
      </x:c>
      <x:c r="B282" s="6" t="str">
        <x:v>BP_Ninja</x:v>
      </x:c>
      <x:c r="C282" s="6" t="str">
        <x:v>DoubleCutPrimarySpeedMultiplier</x:v>
      </x:c>
      <x:c r="D282" s="13" t="n">
        <x:v>2</x:v>
      </x:c>
      <x:c r="E282" s="6" t="str">
        <x:v>raw numeric</x:v>
      </x:c>
      <x:c r="F282" s="6" t="str">
        <x:v>Saved AutoAttackComponent default; stance parameters may override</x:v>
      </x:c>
      <x:c r="G282" s="6" t="str">
        <x:v>/Game/HeavensDivide/Blueprints/PlayerCharacters/BP_Ninja</x:v>
      </x:c>
      <x:c r="H282" s="6" t="str">
        <x:v>Source/HeavensDivide/AutoAttackComponent.h:298</x:v>
      </x:c>
    </x:row>
    <x:row r="283" ht="38" customHeight="1">
      <x:c r="A283" s="6" t="str">
        <x:v>Ninja</x:v>
      </x:c>
      <x:c r="B283" s="6" t="str">
        <x:v>BP_Ninja</x:v>
      </x:c>
      <x:c r="C283" s="6" t="str">
        <x:v>IaijutsuPathSlashCount</x:v>
      </x:c>
      <x:c r="D283" s="13" t="n">
        <x:v>5</x:v>
      </x:c>
      <x:c r="E283" s="6" t="str">
        <x:v>raw numeric</x:v>
      </x:c>
      <x:c r="F283" s="6" t="str">
        <x:v>Saved AutoAttackComponent default; stance parameters may override</x:v>
      </x:c>
      <x:c r="G283" s="6" t="str">
        <x:v>/Game/HeavensDivide/Blueprints/PlayerCharacters/BP_Ninja</x:v>
      </x:c>
      <x:c r="H283" s="6" t="str">
        <x:v>Source/HeavensDivide/AutoAttackComponent.h:272</x:v>
      </x:c>
    </x:row>
    <x:row r="284" ht="38" customHeight="1">
      <x:c r="A284" s="6" t="str">
        <x:v>Ninja</x:v>
      </x:c>
      <x:c r="B284" s="6" t="str">
        <x:v>BP_Ninja</x:v>
      </x:c>
      <x:c r="C284" s="6" t="str">
        <x:v>IaijutsuPathSlashDelay</x:v>
      </x:c>
      <x:c r="D284" s="14" t="n">
        <x:v>0.05</x:v>
      </x:c>
      <x:c r="E284" s="6" t="str">
        <x:v>raw numeric</x:v>
      </x:c>
      <x:c r="F284" s="6" t="str">
        <x:v>Saved AutoAttackComponent default; stance parameters may override</x:v>
      </x:c>
      <x:c r="G284" s="6" t="str">
        <x:v>/Game/HeavensDivide/Blueprints/PlayerCharacters/BP_Ninja</x:v>
      </x:c>
      <x:c r="H284" s="6" t="str">
        <x:v>Source/HeavensDivide/AutoAttackComponent.h:278</x:v>
      </x:c>
    </x:row>
    <x:row r="285" ht="38" customHeight="1">
      <x:c r="A285" s="6" t="str">
        <x:v>Ninja</x:v>
      </x:c>
      <x:c r="B285" s="6" t="str">
        <x:v>BP_Ninja</x:v>
      </x:c>
      <x:c r="C285" s="6" t="str">
        <x:v>IaijutsuPathSlashScale</x:v>
      </x:c>
      <x:c r="D285" s="20" t="n">
        <x:v>0.5</x:v>
      </x:c>
      <x:c r="E285" s="6" t="str">
        <x:v>raw numeric</x:v>
      </x:c>
      <x:c r="F285" s="6" t="str">
        <x:v>Saved AutoAttackComponent default; stance parameters may override</x:v>
      </x:c>
      <x:c r="G285" s="6" t="str">
        <x:v>/Game/HeavensDivide/Blueprints/PlayerCharacters/BP_Ninja</x:v>
      </x:c>
      <x:c r="H285" s="6" t="str">
        <x:v>Source/HeavensDivide/AutoAttackComponent.h:274</x:v>
      </x:c>
    </x:row>
    <x:row r="286" ht="38" customHeight="1">
      <x:c r="A286" s="6" t="str">
        <x:v>Ninja</x:v>
      </x:c>
      <x:c r="B286" s="6" t="str">
        <x:v>BP_Ninja</x:v>
      </x:c>
      <x:c r="C286" s="6" t="str">
        <x:v>KunaiSpreadAngle</x:v>
      </x:c>
      <x:c r="D286" s="13" t="n">
        <x:v>10</x:v>
      </x:c>
      <x:c r="E286" s="6" t="str">
        <x:v>raw numeric</x:v>
      </x:c>
      <x:c r="F286" s="6" t="str">
        <x:v>Saved AutoAttackComponent default; stance parameters may override</x:v>
      </x:c>
      <x:c r="G286" s="6" t="str">
        <x:v>/Game/HeavensDivide/Blueprints/PlayerCharacters/BP_Ninja</x:v>
      </x:c>
      <x:c r="H286" s="6" t="str">
        <x:v>Source/HeavensDivide/AutoAttackComponent.h:240</x:v>
      </x:c>
    </x:row>
    <x:row r="287" ht="38" customHeight="1">
      <x:c r="A287" s="6" t="str">
        <x:v>Ninja</x:v>
      </x:c>
      <x:c r="B287" s="6" t="str">
        <x:v>BP_Ninja</x:v>
      </x:c>
      <x:c r="C287" s="6" t="str">
        <x:v>LegacyMeleeDefaultTargetingRange</x:v>
      </x:c>
      <x:c r="D287" s="13" t="n">
        <x:v>325</x:v>
      </x:c>
      <x:c r="E287" s="6" t="str">
        <x:v>raw numeric</x:v>
      </x:c>
      <x:c r="F287" s="6" t="str">
        <x:v>Saved AutoAttackComponent default; stance parameters may override</x:v>
      </x:c>
      <x:c r="G287" s="6" t="str">
        <x:v>/Game/HeavensDivide/Blueprints/PlayerCharacters/BP_Ninja</x:v>
      </x:c>
      <x:c r="H287" s="6" t="str">
        <x:v>Source/HeavensDivide/AutoAttackComponent.h:210</x:v>
      </x:c>
    </x:row>
    <x:row r="288" ht="38" customHeight="1">
      <x:c r="A288" s="6" t="str">
        <x:v>Ninja</x:v>
      </x:c>
      <x:c r="B288" s="6" t="str">
        <x:v>BP_Ninja</x:v>
      </x:c>
      <x:c r="C288" s="6" t="str">
        <x:v>LegacyRangedDefaultTargetingRange</x:v>
      </x:c>
      <x:c r="D288" s="13" t="n">
        <x:v>900</x:v>
      </x:c>
      <x:c r="E288" s="6" t="str">
        <x:v>raw numeric</x:v>
      </x:c>
      <x:c r="F288" s="6" t="str">
        <x:v>Saved AutoAttackComponent default; stance parameters may override</x:v>
      </x:c>
      <x:c r="G288" s="6" t="str">
        <x:v>/Game/HeavensDivide/Blueprints/PlayerCharacters/BP_Ninja</x:v>
      </x:c>
      <x:c r="H288" s="6" t="str">
        <x:v>Source/HeavensDivide/AutoAttackComponent.h:213</x:v>
      </x:c>
    </x:row>
    <x:row r="289" ht="38" customHeight="1">
      <x:c r="A289" s="6" t="str">
        <x:v>Ninja</x:v>
      </x:c>
      <x:c r="B289" s="6" t="str">
        <x:v>BP_Ninja</x:v>
      </x:c>
      <x:c r="C289" s="6" t="str">
        <x:v>MaxAttackMontagePlayRate</x:v>
      </x:c>
      <x:c r="D289" s="13" t="n">
        <x:v>3</x:v>
      </x:c>
      <x:c r="E289" s="6" t="str">
        <x:v>raw numeric</x:v>
      </x:c>
      <x:c r="F289" s="6" t="str">
        <x:v>Saved AutoAttackComponent default; stance parameters may override</x:v>
      </x:c>
      <x:c r="G289" s="6" t="str">
        <x:v>/Game/HeavensDivide/Blueprints/PlayerCharacters/BP_Ninja</x:v>
      </x:c>
      <x:c r="H289" s="6" t="str">
        <x:v>Source/HeavensDivide/AutoAttackComponent.h:185</x:v>
      </x:c>
    </x:row>
    <x:row r="290" ht="38" customHeight="1">
      <x:c r="A290" s="6" t="str">
        <x:v>Ninja</x:v>
      </x:c>
      <x:c r="B290" s="6" t="str">
        <x:v>BP_Ninja</x:v>
      </x:c>
      <x:c r="C290" s="6" t="str">
        <x:v>MaxMeleeClusterCandidates</x:v>
      </x:c>
      <x:c r="D290" s="13" t="n">
        <x:v>48</x:v>
      </x:c>
      <x:c r="E290" s="6" t="str">
        <x:v>raw numeric</x:v>
      </x:c>
      <x:c r="F290" s="6" t="str">
        <x:v>Saved AutoAttackComponent default; stance parameters may override</x:v>
      </x:c>
      <x:c r="G290" s="6" t="str">
        <x:v>/Game/HeavensDivide/Blueprints/PlayerCharacters/BP_Ninja</x:v>
      </x:c>
      <x:c r="H290" s="6" t="str">
        <x:v>Source/HeavensDivide/AutoAttackComponent.h:228</x:v>
      </x:c>
    </x:row>
    <x:row r="291" ht="38" customHeight="1">
      <x:c r="A291" s="6" t="str">
        <x:v>Ninja</x:v>
      </x:c>
      <x:c r="B291" s="6" t="str">
        <x:v>BP_Ninja</x:v>
      </x:c>
      <x:c r="C291" s="6" t="str">
        <x:v>MeleeClusterTargetingWeight</x:v>
      </x:c>
      <x:c r="D291" s="13" t="n">
        <x:v>1</x:v>
      </x:c>
      <x:c r="E291" s="6" t="str">
        <x:v>raw numeric</x:v>
      </x:c>
      <x:c r="F291" s="6" t="str">
        <x:v>Saved AutoAttackComponent default; stance parameters may override</x:v>
      </x:c>
      <x:c r="G291" s="6" t="str">
        <x:v>/Game/HeavensDivide/Blueprints/PlayerCharacters/BP_Ninja</x:v>
      </x:c>
      <x:c r="H291" s="6" t="str">
        <x:v>Source/HeavensDivide/AutoAttackComponent.h:216</x:v>
      </x:c>
    </x:row>
    <x:row r="292" ht="38" customHeight="1">
      <x:c r="A292" s="6" t="str">
        <x:v>Ninja</x:v>
      </x:c>
      <x:c r="B292" s="6" t="str">
        <x:v>BP_Ninja</x:v>
      </x:c>
      <x:c r="C292" s="6" t="str">
        <x:v>MeleeDistanceTargetingWeight</x:v>
      </x:c>
      <x:c r="D292" s="13" t="n">
        <x:v>4</x:v>
      </x:c>
      <x:c r="E292" s="6" t="str">
        <x:v>raw numeric</x:v>
      </x:c>
      <x:c r="F292" s="6" t="str">
        <x:v>Saved AutoAttackComponent default; stance parameters may override</x:v>
      </x:c>
      <x:c r="G292" s="6" t="str">
        <x:v>/Game/HeavensDivide/Blueprints/PlayerCharacters/BP_Ninja</x:v>
      </x:c>
      <x:c r="H292" s="6" t="str">
        <x:v>Source/HeavensDivide/AutoAttackComponent.h:219</x:v>
      </x:c>
    </x:row>
    <x:row r="293" ht="38" customHeight="1">
      <x:c r="A293" s="6" t="str">
        <x:v>Ninja</x:v>
      </x:c>
      <x:c r="B293" s="6" t="str">
        <x:v>BP_Ninja</x:v>
      </x:c>
      <x:c r="C293" s="6" t="str">
        <x:v>MeleeImmediateThreatBonus</x:v>
      </x:c>
      <x:c r="D293" s="13" t="n">
        <x:v>3</x:v>
      </x:c>
      <x:c r="E293" s="6" t="str">
        <x:v>raw numeric</x:v>
      </x:c>
      <x:c r="F293" s="6" t="str">
        <x:v>Saved AutoAttackComponent default; stance parameters may override</x:v>
      </x:c>
      <x:c r="G293" s="6" t="str">
        <x:v>/Game/HeavensDivide/Blueprints/PlayerCharacters/BP_Ninja</x:v>
      </x:c>
      <x:c r="H293" s="6" t="str">
        <x:v>Source/HeavensDivide/AutoAttackComponent.h:222</x:v>
      </x:c>
    </x:row>
    <x:row r="294" ht="38" customHeight="1">
      <x:c r="A294" s="6" t="str">
        <x:v>Ninja</x:v>
      </x:c>
      <x:c r="B294" s="6" t="str">
        <x:v>BP_Ninja</x:v>
      </x:c>
      <x:c r="C294" s="6" t="str">
        <x:v>MeleeImmediateThreatRangeFraction</x:v>
      </x:c>
      <x:c r="D294" s="14" t="n">
        <x:v>0.65</x:v>
      </x:c>
      <x:c r="E294" s="6" t="str">
        <x:v>raw numeric</x:v>
      </x:c>
      <x:c r="F294" s="6" t="str">
        <x:v>Saved AutoAttackComponent default; stance parameters may override</x:v>
      </x:c>
      <x:c r="G294" s="6" t="str">
        <x:v>/Game/HeavensDivide/Blueprints/PlayerCharacters/BP_Ninja</x:v>
      </x:c>
      <x:c r="H294" s="6" t="str">
        <x:v>Source/HeavensDivide/AutoAttackComponent.h:225</x:v>
      </x:c>
    </x:row>
    <x:row r="295" ht="38" customHeight="1">
      <x:c r="A295" s="6" t="str">
        <x:v>Ninja</x:v>
      </x:c>
      <x:c r="B295" s="6" t="str">
        <x:v>BP_Ninja</x:v>
      </x:c>
      <x:c r="C295" s="6" t="str">
        <x:v>ProjectileSpeed</x:v>
      </x:c>
      <x:c r="D295" s="13" t="n">
        <x:v>1800</x:v>
      </x:c>
      <x:c r="E295" s="6" t="str">
        <x:v>cm/s</x:v>
      </x:c>
      <x:c r="F295" s="6" t="str">
        <x:v>Saved AutoAttackComponent default; stance parameters may override</x:v>
      </x:c>
      <x:c r="G295" s="6" t="str">
        <x:v>/Game/HeavensDivide/Blueprints/PlayerCharacters/BP_Ninja</x:v>
      </x:c>
      <x:c r="H295" s="6" t="str">
        <x:v>Source/HeavensDivide/AutoAttackComponent.h:133</x:v>
      </x:c>
    </x:row>
    <x:row r="296" ht="38" customHeight="1">
      <x:c r="A296" s="6" t="str">
        <x:v>Ninja</x:v>
      </x:c>
      <x:c r="B296" s="6" t="str">
        <x:v>BP_Ninja</x:v>
      </x:c>
      <x:c r="C296" s="6" t="str">
        <x:v>ReadyTargetCheckInterval</x:v>
      </x:c>
      <x:c r="D296" s="14" t="n">
        <x:v>0.15</x:v>
      </x:c>
      <x:c r="E296" s="6" t="str">
        <x:v>s</x:v>
      </x:c>
      <x:c r="F296" s="6" t="str">
        <x:v>Saved AutoAttackComponent default; stance parameters may override</x:v>
      </x:c>
      <x:c r="G296" s="6" t="str">
        <x:v>/Game/HeavensDivide/Blueprints/PlayerCharacters/BP_Ninja</x:v>
      </x:c>
      <x:c r="H296" s="6" t="str">
        <x:v>Source/HeavensDivide/AutoAttackComponent.h:179</x:v>
      </x:c>
    </x:row>
    <x:row r="297" ht="38" customHeight="1">
      <x:c r="A297" s="6" t="str">
        <x:v>Ninja</x:v>
      </x:c>
      <x:c r="B297" s="6" t="str">
        <x:v>BP_Ninja</x:v>
      </x:c>
      <x:c r="C297" s="6" t="str">
        <x:v>SamuraiPushbackDistance</x:v>
      </x:c>
      <x:c r="D297" s="13" t="n">
        <x:v>25</x:v>
      </x:c>
      <x:c r="E297" s="6" t="str">
        <x:v>raw numeric</x:v>
      </x:c>
      <x:c r="F297" s="6" t="str">
        <x:v>Saved AutoAttackComponent default; stance parameters may override</x:v>
      </x:c>
      <x:c r="G297" s="6" t="str">
        <x:v>/Game/HeavensDivide/Blueprints/PlayerCharacters/BP_Ninja</x:v>
      </x:c>
      <x:c r="H297" s="6" t="str">
        <x:v>Source/HeavensDivide/AutoAttackComponent.h:291</x:v>
      </x:c>
    </x:row>
    <x:row r="298" ht="38" customHeight="1">
      <x:c r="A298" s="6" t="str">
        <x:v>Ninja</x:v>
      </x:c>
      <x:c r="B298" s="6" t="str">
        <x:v>BP_Ninja</x:v>
      </x:c>
      <x:c r="C298" s="6" t="str">
        <x:v>SamuraiPushbackDuration</x:v>
      </x:c>
      <x:c r="D298" s="20" t="n">
        <x:v>0.1</x:v>
      </x:c>
      <x:c r="E298" s="6" t="str">
        <x:v>s</x:v>
      </x:c>
      <x:c r="F298" s="6" t="str">
        <x:v>Saved AutoAttackComponent default; stance parameters may override</x:v>
      </x:c>
      <x:c r="G298" s="6" t="str">
        <x:v>/Game/HeavensDivide/Blueprints/PlayerCharacters/BP_Ninja</x:v>
      </x:c>
      <x:c r="H298" s="6" t="str">
        <x:v>Source/HeavensDivide/AutoAttackComponent.h:292</x:v>
      </x:c>
    </x:row>
    <x:row r="299" ht="38" customHeight="1">
      <x:c r="A299" s="6" t="str">
        <x:v>Ninja</x:v>
      </x:c>
      <x:c r="B299" s="6" t="str">
        <x:v>BP_Ninja</x:v>
      </x:c>
      <x:c r="C299" s="6" t="str">
        <x:v>SecondaryTargetDamageMultiplier</x:v>
      </x:c>
      <x:c r="D299" s="20" t="n">
        <x:v>0.3</x:v>
      </x:c>
      <x:c r="E299" s="6" t="str">
        <x:v>raw numeric</x:v>
      </x:c>
      <x:c r="F299" s="6" t="str">
        <x:v>Saved AutoAttackComponent default; stance parameters may override</x:v>
      </x:c>
      <x:c r="G299" s="6" t="str">
        <x:v>/Game/HeavensDivide/Blueprints/PlayerCharacters/BP_Ninja</x:v>
      </x:c>
      <x:c r="H299" s="6" t="str">
        <x:v>Source/HeavensDivide/AutoAttackComponent.h:204</x:v>
      </x:c>
    </x:row>
    <x:row r="300" ht="38" customHeight="1">
      <x:c r="A300" s="6" t="str">
        <x:v>Ninja</x:v>
      </x:c>
      <x:c r="B300" s="6" t="str">
        <x:v>BP_Ninja</x:v>
      </x:c>
      <x:c r="C300" s="6" t="str">
        <x:v>TargetingRange</x:v>
      </x:c>
      <x:c r="D300" s="13" t="n">
        <x:v>1700</x:v>
      </x:c>
      <x:c r="E300" s="6" t="str">
        <x:v>cm</x:v>
      </x:c>
      <x:c r="F300" s="6" t="str">
        <x:v>Saved AutoAttackComponent default; stance parameters may override</x:v>
      </x:c>
      <x:c r="G300" s="6" t="str">
        <x:v>/Game/HeavensDivide/Blueprints/PlayerCharacters/BP_Ninja</x:v>
      </x:c>
      <x:c r="H300" s="6" t="str">
        <x:v>Source/HeavensDivide/AutoAttackComponent.h:136</x:v>
      </x:c>
    </x:row>
    <x:row r="301" ht="38" customHeight="1">
      <x:c r="A301" s="6" t="str">
        <x:v>Samurai</x:v>
      </x:c>
      <x:c r="B301" s="6" t="str">
        <x:v>BP_Samurai</x:v>
      </x:c>
      <x:c r="C301" s="6" t="str">
        <x:v>AttackDamage</x:v>
      </x:c>
      <x:c r="D301" s="13" t="n">
        <x:v>8</x:v>
      </x:c>
      <x:c r="E301" s="6" t="str">
        <x:v>raw numeric</x:v>
      </x:c>
      <x:c r="F301" s="6" t="str">
        <x:v>Saved AutoAttackComponent default; stance parameters may override</x:v>
      </x:c>
      <x:c r="G301" s="6" t="str">
        <x:v>/Game/HeavensDivide/Blueprints/PlayerCharacters/BP_Samurai</x:v>
      </x:c>
      <x:c r="H301" s="6" t="str">
        <x:v>Source/HeavensDivide/AutoAttackComponent.h:127</x:v>
      </x:c>
    </x:row>
    <x:row r="302" ht="38" customHeight="1">
      <x:c r="A302" s="6" t="str">
        <x:v>Samurai</x:v>
      </x:c>
      <x:c r="B302" s="6" t="str">
        <x:v>BP_Samurai</x:v>
      </x:c>
      <x:c r="C302" s="6" t="str">
        <x:v>AttackForwardOffset</x:v>
      </x:c>
      <x:c r="D302" s="13" t="n">
        <x:v>120</x:v>
      </x:c>
      <x:c r="E302" s="6" t="str">
        <x:v>raw numeric</x:v>
      </x:c>
      <x:c r="F302" s="6" t="str">
        <x:v>Saved AutoAttackComponent default; stance parameters may override</x:v>
      </x:c>
      <x:c r="G302" s="6" t="str">
        <x:v>/Game/HeavensDivide/Blueprints/PlayerCharacters/BP_Samurai</x:v>
      </x:c>
      <x:c r="H302" s="6" t="str">
        <x:v>Source/HeavensDivide/AutoAttackComponent.h:258</x:v>
      </x:c>
    </x:row>
    <x:row r="303" ht="38" customHeight="1">
      <x:c r="A303" s="6" t="str">
        <x:v>Samurai</x:v>
      </x:c>
      <x:c r="B303" s="6" t="str">
        <x:v>BP_Samurai</x:v>
      </x:c>
      <x:c r="C303" s="6" t="str">
        <x:v>AttackInterval</x:v>
      </x:c>
      <x:c r="D303" s="20" t="n">
        <x:v>1.2</x:v>
      </x:c>
      <x:c r="E303" s="6" t="str">
        <x:v>s</x:v>
      </x:c>
      <x:c r="F303" s="6" t="str">
        <x:v>Saved AutoAttackComponent default; stance parameters may override</x:v>
      </x:c>
      <x:c r="G303" s="6" t="str">
        <x:v>/Game/HeavensDivide/Blueprints/PlayerCharacters/BP_Samurai</x:v>
      </x:c>
      <x:c r="H303" s="6" t="str">
        <x:v>Source/HeavensDivide/AutoAttackComponent.h:99</x:v>
      </x:c>
    </x:row>
    <x:row r="304" ht="38" customHeight="1">
      <x:c r="A304" s="6" t="str">
        <x:v>Samurai</x:v>
      </x:c>
      <x:c r="B304" s="6" t="str">
        <x:v>BP_Samurai</x:v>
      </x:c>
      <x:c r="C304" s="6" t="str">
        <x:v>AttackRadius</x:v>
      </x:c>
      <x:c r="D304" s="13" t="n">
        <x:v>240</x:v>
      </x:c>
      <x:c r="E304" s="6" t="str">
        <x:v>raw numeric</x:v>
      </x:c>
      <x:c r="F304" s="6" t="str">
        <x:v>Saved AutoAttackComponent default; stance parameters may override</x:v>
      </x:c>
      <x:c r="G304" s="6" t="str">
        <x:v>/Game/HeavensDivide/Blueprints/PlayerCharacters/BP_Samurai</x:v>
      </x:c>
      <x:c r="H304" s="6" t="str">
        <x:v>Source/HeavensDivide/AutoAttackComponent.h:130</x:v>
      </x:c>
    </x:row>
    <x:row r="305" ht="38" customHeight="1">
      <x:c r="A305" s="6" t="str">
        <x:v>Samurai</x:v>
      </x:c>
      <x:c r="B305" s="6" t="str">
        <x:v>BP_Samurai</x:v>
      </x:c>
      <x:c r="C305" s="6" t="str">
        <x:v>AttackRange</x:v>
      </x:c>
      <x:c r="D305" s="13" t="n">
        <x:v>150</x:v>
      </x:c>
      <x:c r="E305" s="6" t="str">
        <x:v>raw numeric</x:v>
      </x:c>
      <x:c r="F305" s="6" t="str">
        <x:v>Saved AutoAttackComponent default; stance parameters may override</x:v>
      </x:c>
      <x:c r="G305" s="6" t="str">
        <x:v>/Game/HeavensDivide/Blueprints/PlayerCharacters/BP_Samurai</x:v>
      </x:c>
      <x:c r="H305" s="6" t="str">
        <x:v>Source/HeavensDivide/AutoAttackComponent.h:252</x:v>
      </x:c>
    </x:row>
    <x:row r="306" ht="38" customHeight="1">
      <x:c r="A306" s="6" t="str">
        <x:v>Samurai</x:v>
      </x:c>
      <x:c r="B306" s="6" t="str">
        <x:v>BP_Samurai</x:v>
      </x:c>
      <x:c r="C306" s="6" t="str">
        <x:v>BladeWaveBaseWidth</x:v>
      </x:c>
      <x:c r="D306" s="13" t="n">
        <x:v>300</x:v>
      </x:c>
      <x:c r="E306" s="6" t="str">
        <x:v>raw numeric</x:v>
      </x:c>
      <x:c r="F306" s="6" t="str">
        <x:v>Saved AutoAttackComponent default; stance parameters may override</x:v>
      </x:c>
      <x:c r="G306" s="6" t="str">
        <x:v>/Game/HeavensDivide/Blueprints/PlayerCharacters/BP_Samurai</x:v>
      </x:c>
      <x:c r="H306" s="6" t="str">
        <x:v>Source/HeavensDivide/AutoAttackComponent.h:314</x:v>
      </x:c>
    </x:row>
    <x:row r="307" ht="38" customHeight="1">
      <x:c r="A307" s="6" t="str">
        <x:v>Samurai</x:v>
      </x:c>
      <x:c r="B307" s="6" t="str">
        <x:v>BP_Samurai</x:v>
      </x:c>
      <x:c r="C307" s="6" t="str">
        <x:v>BladeWaveDamageMultiplier</x:v>
      </x:c>
      <x:c r="D307" s="20" t="n">
        <x:v>0.4</x:v>
      </x:c>
      <x:c r="E307" s="6" t="str">
        <x:v>raw numeric</x:v>
      </x:c>
      <x:c r="F307" s="6" t="str">
        <x:v>Saved AutoAttackComponent default; stance parameters may override</x:v>
      </x:c>
      <x:c r="G307" s="6" t="str">
        <x:v>/Game/HeavensDivide/Blueprints/PlayerCharacters/BP_Samurai</x:v>
      </x:c>
      <x:c r="H307" s="6" t="str">
        <x:v>Source/HeavensDivide/AutoAttackComponent.h:316</x:v>
      </x:c>
    </x:row>
    <x:row r="308" ht="38" customHeight="1">
      <x:c r="A308" s="6" t="str">
        <x:v>Samurai</x:v>
      </x:c>
      <x:c r="B308" s="6" t="str">
        <x:v>BP_Samurai</x:v>
      </x:c>
      <x:c r="C308" s="6" t="str">
        <x:v>BladeWaveSpeed</x:v>
      </x:c>
      <x:c r="D308" s="13" t="n">
        <x:v>1400</x:v>
      </x:c>
      <x:c r="E308" s="6" t="str">
        <x:v>raw numeric</x:v>
      </x:c>
      <x:c r="F308" s="6" t="str">
        <x:v>Saved AutoAttackComponent default; stance parameters may override</x:v>
      </x:c>
      <x:c r="G308" s="6" t="str">
        <x:v>/Game/HeavensDivide/Blueprints/PlayerCharacters/BP_Samurai</x:v>
      </x:c>
      <x:c r="H308" s="6" t="str">
        <x:v>Source/HeavensDivide/AutoAttackComponent.h:312</x:v>
      </x:c>
    </x:row>
    <x:row r="309" ht="38" customHeight="1">
      <x:c r="A309" s="6" t="str">
        <x:v>Samurai</x:v>
      </x:c>
      <x:c r="B309" s="6" t="str">
        <x:v>BP_Samurai</x:v>
      </x:c>
      <x:c r="C309" s="6" t="str">
        <x:v>BladeWaveTravelDistance</x:v>
      </x:c>
      <x:c r="D309" s="13" t="n">
        <x:v>650</x:v>
      </x:c>
      <x:c r="E309" s="6" t="str">
        <x:v>raw numeric</x:v>
      </x:c>
      <x:c r="F309" s="6" t="str">
        <x:v>Saved AutoAttackComponent default; stance parameters may override</x:v>
      </x:c>
      <x:c r="G309" s="6" t="str">
        <x:v>/Game/HeavensDivide/Blueprints/PlayerCharacters/BP_Samurai</x:v>
      </x:c>
      <x:c r="H309" s="6" t="str">
        <x:v>Source/HeavensDivide/AutoAttackComponent.h:310</x:v>
      </x:c>
    </x:row>
    <x:row r="310" ht="38" customHeight="1">
      <x:c r="A310" s="6" t="str">
        <x:v>Samurai</x:v>
      </x:c>
      <x:c r="B310" s="6" t="str">
        <x:v>BP_Samurai</x:v>
      </x:c>
      <x:c r="C310" s="6" t="str">
        <x:v>BloodDetonationExplosionDelay</x:v>
      </x:c>
      <x:c r="D310" s="20" t="n">
        <x:v>2.7</x:v>
      </x:c>
      <x:c r="E310" s="6" t="str">
        <x:v>raw numeric</x:v>
      </x:c>
      <x:c r="F310" s="6" t="str">
        <x:v>Saved AutoAttackComponent default; stance parameters may override</x:v>
      </x:c>
      <x:c r="G310" s="6" t="str">
        <x:v>/Game/HeavensDivide/Blueprints/PlayerCharacters/BP_Samurai</x:v>
      </x:c>
      <x:c r="H310" s="6" t="str">
        <x:v>Source/HeavensDivide/AutoAttackComponent.h:382</x:v>
      </x:c>
    </x:row>
    <x:row r="311" ht="38" customHeight="1">
      <x:c r="A311" s="6" t="str">
        <x:v>Samurai</x:v>
      </x:c>
      <x:c r="B311" s="6" t="str">
        <x:v>BP_Samurai</x:v>
      </x:c>
      <x:c r="C311" s="6" t="str">
        <x:v>BloodDetonationVFXReferenceRadius</x:v>
      </x:c>
      <x:c r="D311" s="13" t="n">
        <x:v>500</x:v>
      </x:c>
      <x:c r="E311" s="6" t="str">
        <x:v>raw numeric</x:v>
      </x:c>
      <x:c r="F311" s="6" t="str">
        <x:v>Saved AutoAttackComponent default; stance parameters may override</x:v>
      </x:c>
      <x:c r="G311" s="6" t="str">
        <x:v>/Game/HeavensDivide/Blueprints/PlayerCharacters/BP_Samurai</x:v>
      </x:c>
      <x:c r="H311" s="6" t="str">
        <x:v>Source/HeavensDivide/AutoAttackComponent.h:384</x:v>
      </x:c>
    </x:row>
    <x:row r="312" ht="38" customHeight="1">
      <x:c r="A312" s="6" t="str">
        <x:v>Samurai</x:v>
      </x:c>
      <x:c r="B312" s="6" t="str">
        <x:v>BP_Samurai</x:v>
      </x:c>
      <x:c r="C312" s="6" t="str">
        <x:v>BloodEchoDelay</x:v>
      </x:c>
      <x:c r="D312" s="14" t="n">
        <x:v>0.25</x:v>
      </x:c>
      <x:c r="E312" s="6" t="str">
        <x:v>raw numeric</x:v>
      </x:c>
      <x:c r="F312" s="6" t="str">
        <x:v>Saved AutoAttackComponent default; stance parameters may override</x:v>
      </x:c>
      <x:c r="G312" s="6" t="str">
        <x:v>/Game/HeavensDivide/Blueprints/PlayerCharacters/BP_Samurai</x:v>
      </x:c>
      <x:c r="H312" s="6" t="str">
        <x:v>Source/HeavensDivide/AutoAttackComponent.h:389</x:v>
      </x:c>
    </x:row>
    <x:row r="313" ht="38" customHeight="1">
      <x:c r="A313" s="6" t="str">
        <x:v>Samurai</x:v>
      </x:c>
      <x:c r="B313" s="6" t="str">
        <x:v>BP_Samurai</x:v>
      </x:c>
      <x:c r="C313" s="6" t="str">
        <x:v>CrossingBladeSideAngle</x:v>
      </x:c>
      <x:c r="D313" s="13" t="n">
        <x:v>60</x:v>
      </x:c>
      <x:c r="E313" s="6" t="str">
        <x:v>raw numeric</x:v>
      </x:c>
      <x:c r="F313" s="6" t="str">
        <x:v>Saved AutoAttackComponent default; stance parameters may override</x:v>
      </x:c>
      <x:c r="G313" s="6" t="str">
        <x:v>/Game/HeavensDivide/Blueprints/PlayerCharacters/BP_Samurai</x:v>
      </x:c>
      <x:c r="H313" s="6" t="str">
        <x:v>Source/HeavensDivide/AutoAttackComponent.h:318</x:v>
      </x:c>
    </x:row>
    <x:row r="314" ht="38" customHeight="1">
      <x:c r="A314" s="6" t="str">
        <x:v>Samurai</x:v>
      </x:c>
      <x:c r="B314" s="6" t="str">
        <x:v>BP_Samurai</x:v>
      </x:c>
      <x:c r="C314" s="6" t="str">
        <x:v>CrossingBladeWaveDelay</x:v>
      </x:c>
      <x:c r="D314" s="14" t="n">
        <x:v>0.12</x:v>
      </x:c>
      <x:c r="E314" s="6" t="str">
        <x:v>raw numeric</x:v>
      </x:c>
      <x:c r="F314" s="6" t="str">
        <x:v>Saved AutoAttackComponent default; stance parameters may override</x:v>
      </x:c>
      <x:c r="G314" s="6" t="str">
        <x:v>/Game/HeavensDivide/Blueprints/PlayerCharacters/BP_Samurai</x:v>
      </x:c>
      <x:c r="H314" s="6" t="str">
        <x:v>Source/HeavensDivide/AutoAttackComponent.h:320</x:v>
      </x:c>
    </x:row>
    <x:row r="315" ht="38" customHeight="1">
      <x:c r="A315" s="6" t="str">
        <x:v>Samurai</x:v>
      </x:c>
      <x:c r="B315" s="6" t="str">
        <x:v>BP_Samurai</x:v>
      </x:c>
      <x:c r="C315" s="6" t="str">
        <x:v>DoubleCutPrimaryAttackCount</x:v>
      </x:c>
      <x:c r="D315" s="13" t="n">
        <x:v>3</x:v>
      </x:c>
      <x:c r="E315" s="6" t="str">
        <x:v>raw numeric</x:v>
      </x:c>
      <x:c r="F315" s="6" t="str">
        <x:v>Saved AutoAttackComponent default; stance parameters may override</x:v>
      </x:c>
      <x:c r="G315" s="6" t="str">
        <x:v>/Game/HeavensDivide/Blueprints/PlayerCharacters/BP_Samurai</x:v>
      </x:c>
      <x:c r="H315" s="6" t="str">
        <x:v>Source/HeavensDivide/AutoAttackComponent.h:295</x:v>
      </x:c>
    </x:row>
    <x:row r="316" ht="38" customHeight="1">
      <x:c r="A316" s="6" t="str">
        <x:v>Samurai</x:v>
      </x:c>
      <x:c r="B316" s="6" t="str">
        <x:v>BP_Samurai</x:v>
      </x:c>
      <x:c r="C316" s="6" t="str">
        <x:v>DoubleCutPrimarySpeedMultiplier</x:v>
      </x:c>
      <x:c r="D316" s="13" t="n">
        <x:v>2</x:v>
      </x:c>
      <x:c r="E316" s="6" t="str">
        <x:v>raw numeric</x:v>
      </x:c>
      <x:c r="F316" s="6" t="str">
        <x:v>Saved AutoAttackComponent default; stance parameters may override</x:v>
      </x:c>
      <x:c r="G316" s="6" t="str">
        <x:v>/Game/HeavensDivide/Blueprints/PlayerCharacters/BP_Samurai</x:v>
      </x:c>
      <x:c r="H316" s="6" t="str">
        <x:v>Source/HeavensDivide/AutoAttackComponent.h:298</x:v>
      </x:c>
    </x:row>
    <x:row r="317" ht="38" customHeight="1">
      <x:c r="A317" s="6" t="str">
        <x:v>Samurai</x:v>
      </x:c>
      <x:c r="B317" s="6" t="str">
        <x:v>BP_Samurai</x:v>
      </x:c>
      <x:c r="C317" s="6" t="str">
        <x:v>IaijutsuPathSlashCount</x:v>
      </x:c>
      <x:c r="D317" s="13" t="n">
        <x:v>5</x:v>
      </x:c>
      <x:c r="E317" s="6" t="str">
        <x:v>raw numeric</x:v>
      </x:c>
      <x:c r="F317" s="6" t="str">
        <x:v>Saved AutoAttackComponent default; stance parameters may override</x:v>
      </x:c>
      <x:c r="G317" s="6" t="str">
        <x:v>/Game/HeavensDivide/Blueprints/PlayerCharacters/BP_Samurai</x:v>
      </x:c>
      <x:c r="H317" s="6" t="str">
        <x:v>Source/HeavensDivide/AutoAttackComponent.h:272</x:v>
      </x:c>
    </x:row>
    <x:row r="318" ht="38" customHeight="1">
      <x:c r="A318" s="6" t="str">
        <x:v>Samurai</x:v>
      </x:c>
      <x:c r="B318" s="6" t="str">
        <x:v>BP_Samurai</x:v>
      </x:c>
      <x:c r="C318" s="6" t="str">
        <x:v>IaijutsuPathSlashDelay</x:v>
      </x:c>
      <x:c r="D318" s="14" t="n">
        <x:v>0.05</x:v>
      </x:c>
      <x:c r="E318" s="6" t="str">
        <x:v>raw numeric</x:v>
      </x:c>
      <x:c r="F318" s="6" t="str">
        <x:v>Saved AutoAttackComponent default; stance parameters may override</x:v>
      </x:c>
      <x:c r="G318" s="6" t="str">
        <x:v>/Game/HeavensDivide/Blueprints/PlayerCharacters/BP_Samurai</x:v>
      </x:c>
      <x:c r="H318" s="6" t="str">
        <x:v>Source/HeavensDivide/AutoAttackComponent.h:278</x:v>
      </x:c>
    </x:row>
    <x:row r="319" ht="38" customHeight="1">
      <x:c r="A319" s="6" t="str">
        <x:v>Samurai</x:v>
      </x:c>
      <x:c r="B319" s="6" t="str">
        <x:v>BP_Samurai</x:v>
      </x:c>
      <x:c r="C319" s="6" t="str">
        <x:v>IaijutsuPathSlashScale</x:v>
      </x:c>
      <x:c r="D319" s="20" t="n">
        <x:v>0.5</x:v>
      </x:c>
      <x:c r="E319" s="6" t="str">
        <x:v>raw numeric</x:v>
      </x:c>
      <x:c r="F319" s="6" t="str">
        <x:v>Saved AutoAttackComponent default; stance parameters may override</x:v>
      </x:c>
      <x:c r="G319" s="6" t="str">
        <x:v>/Game/HeavensDivide/Blueprints/PlayerCharacters/BP_Samurai</x:v>
      </x:c>
      <x:c r="H319" s="6" t="str">
        <x:v>Source/HeavensDivide/AutoAttackComponent.h:274</x:v>
      </x:c>
    </x:row>
    <x:row r="320" ht="38" customHeight="1">
      <x:c r="A320" s="6" t="str">
        <x:v>Samurai</x:v>
      </x:c>
      <x:c r="B320" s="6" t="str">
        <x:v>BP_Samurai</x:v>
      </x:c>
      <x:c r="C320" s="6" t="str">
        <x:v>KunaiSpreadAngle</x:v>
      </x:c>
      <x:c r="D320" s="13" t="n">
        <x:v>10</x:v>
      </x:c>
      <x:c r="E320" s="6" t="str">
        <x:v>raw numeric</x:v>
      </x:c>
      <x:c r="F320" s="6" t="str">
        <x:v>Saved AutoAttackComponent default; stance parameters may override</x:v>
      </x:c>
      <x:c r="G320" s="6" t="str">
        <x:v>/Game/HeavensDivide/Blueprints/PlayerCharacters/BP_Samurai</x:v>
      </x:c>
      <x:c r="H320" s="6" t="str">
        <x:v>Source/HeavensDivide/AutoAttackComponent.h:240</x:v>
      </x:c>
    </x:row>
    <x:row r="321" ht="38" customHeight="1">
      <x:c r="A321" s="6" t="str">
        <x:v>Samurai</x:v>
      </x:c>
      <x:c r="B321" s="6" t="str">
        <x:v>BP_Samurai</x:v>
      </x:c>
      <x:c r="C321" s="6" t="str">
        <x:v>LegacyMeleeDefaultTargetingRange</x:v>
      </x:c>
      <x:c r="D321" s="13" t="n">
        <x:v>325</x:v>
      </x:c>
      <x:c r="E321" s="6" t="str">
        <x:v>raw numeric</x:v>
      </x:c>
      <x:c r="F321" s="6" t="str">
        <x:v>Saved AutoAttackComponent default; stance parameters may override</x:v>
      </x:c>
      <x:c r="G321" s="6" t="str">
        <x:v>/Game/HeavensDivide/Blueprints/PlayerCharacters/BP_Samurai</x:v>
      </x:c>
      <x:c r="H321" s="6" t="str">
        <x:v>Source/HeavensDivide/AutoAttackComponent.h:210</x:v>
      </x:c>
    </x:row>
    <x:row r="322" ht="38" customHeight="1">
      <x:c r="A322" s="6" t="str">
        <x:v>Samurai</x:v>
      </x:c>
      <x:c r="B322" s="6" t="str">
        <x:v>BP_Samurai</x:v>
      </x:c>
      <x:c r="C322" s="6" t="str">
        <x:v>LegacyRangedDefaultTargetingRange</x:v>
      </x:c>
      <x:c r="D322" s="13" t="n">
        <x:v>900</x:v>
      </x:c>
      <x:c r="E322" s="6" t="str">
        <x:v>raw numeric</x:v>
      </x:c>
      <x:c r="F322" s="6" t="str">
        <x:v>Saved AutoAttackComponent default; stance parameters may override</x:v>
      </x:c>
      <x:c r="G322" s="6" t="str">
        <x:v>/Game/HeavensDivide/Blueprints/PlayerCharacters/BP_Samurai</x:v>
      </x:c>
      <x:c r="H322" s="6" t="str">
        <x:v>Source/HeavensDivide/AutoAttackComponent.h:213</x:v>
      </x:c>
    </x:row>
    <x:row r="323" ht="38" customHeight="1">
      <x:c r="A323" s="6" t="str">
        <x:v>Samurai</x:v>
      </x:c>
      <x:c r="B323" s="6" t="str">
        <x:v>BP_Samurai</x:v>
      </x:c>
      <x:c r="C323" s="6" t="str">
        <x:v>MaxAttackMontagePlayRate</x:v>
      </x:c>
      <x:c r="D323" s="13" t="n">
        <x:v>3</x:v>
      </x:c>
      <x:c r="E323" s="6" t="str">
        <x:v>raw numeric</x:v>
      </x:c>
      <x:c r="F323" s="6" t="str">
        <x:v>Saved AutoAttackComponent default; stance parameters may override</x:v>
      </x:c>
      <x:c r="G323" s="6" t="str">
        <x:v>/Game/HeavensDivide/Blueprints/PlayerCharacters/BP_Samurai</x:v>
      </x:c>
      <x:c r="H323" s="6" t="str">
        <x:v>Source/HeavensDivide/AutoAttackComponent.h:185</x:v>
      </x:c>
    </x:row>
    <x:row r="324" ht="38" customHeight="1">
      <x:c r="A324" s="6" t="str">
        <x:v>Samurai</x:v>
      </x:c>
      <x:c r="B324" s="6" t="str">
        <x:v>BP_Samurai</x:v>
      </x:c>
      <x:c r="C324" s="6" t="str">
        <x:v>MaxMeleeClusterCandidates</x:v>
      </x:c>
      <x:c r="D324" s="13" t="n">
        <x:v>48</x:v>
      </x:c>
      <x:c r="E324" s="6" t="str">
        <x:v>raw numeric</x:v>
      </x:c>
      <x:c r="F324" s="6" t="str">
        <x:v>Saved AutoAttackComponent default; stance parameters may override</x:v>
      </x:c>
      <x:c r="G324" s="6" t="str">
        <x:v>/Game/HeavensDivide/Blueprints/PlayerCharacters/BP_Samurai</x:v>
      </x:c>
      <x:c r="H324" s="6" t="str">
        <x:v>Source/HeavensDivide/AutoAttackComponent.h:228</x:v>
      </x:c>
    </x:row>
    <x:row r="325" ht="38" customHeight="1">
      <x:c r="A325" s="6" t="str">
        <x:v>Samurai</x:v>
      </x:c>
      <x:c r="B325" s="6" t="str">
        <x:v>BP_Samurai</x:v>
      </x:c>
      <x:c r="C325" s="6" t="str">
        <x:v>MeleeClusterTargetingWeight</x:v>
      </x:c>
      <x:c r="D325" s="13" t="n">
        <x:v>1</x:v>
      </x:c>
      <x:c r="E325" s="6" t="str">
        <x:v>raw numeric</x:v>
      </x:c>
      <x:c r="F325" s="6" t="str">
        <x:v>Saved AutoAttackComponent default; stance parameters may override</x:v>
      </x:c>
      <x:c r="G325" s="6" t="str">
        <x:v>/Game/HeavensDivide/Blueprints/PlayerCharacters/BP_Samurai</x:v>
      </x:c>
      <x:c r="H325" s="6" t="str">
        <x:v>Source/HeavensDivide/AutoAttackComponent.h:216</x:v>
      </x:c>
    </x:row>
    <x:row r="326" ht="38" customHeight="1">
      <x:c r="A326" s="6" t="str">
        <x:v>Samurai</x:v>
      </x:c>
      <x:c r="B326" s="6" t="str">
        <x:v>BP_Samurai</x:v>
      </x:c>
      <x:c r="C326" s="6" t="str">
        <x:v>MeleeDistanceTargetingWeight</x:v>
      </x:c>
      <x:c r="D326" s="13" t="n">
        <x:v>4</x:v>
      </x:c>
      <x:c r="E326" s="6" t="str">
        <x:v>raw numeric</x:v>
      </x:c>
      <x:c r="F326" s="6" t="str">
        <x:v>Saved AutoAttackComponent default; stance parameters may override</x:v>
      </x:c>
      <x:c r="G326" s="6" t="str">
        <x:v>/Game/HeavensDivide/Blueprints/PlayerCharacters/BP_Samurai</x:v>
      </x:c>
      <x:c r="H326" s="6" t="str">
        <x:v>Source/HeavensDivide/AutoAttackComponent.h:219</x:v>
      </x:c>
    </x:row>
    <x:row r="327" ht="38" customHeight="1">
      <x:c r="A327" s="6" t="str">
        <x:v>Samurai</x:v>
      </x:c>
      <x:c r="B327" s="6" t="str">
        <x:v>BP_Samurai</x:v>
      </x:c>
      <x:c r="C327" s="6" t="str">
        <x:v>MeleeImmediateThreatBonus</x:v>
      </x:c>
      <x:c r="D327" s="13" t="n">
        <x:v>3</x:v>
      </x:c>
      <x:c r="E327" s="6" t="str">
        <x:v>raw numeric</x:v>
      </x:c>
      <x:c r="F327" s="6" t="str">
        <x:v>Saved AutoAttackComponent default; stance parameters may override</x:v>
      </x:c>
      <x:c r="G327" s="6" t="str">
        <x:v>/Game/HeavensDivide/Blueprints/PlayerCharacters/BP_Samurai</x:v>
      </x:c>
      <x:c r="H327" s="6" t="str">
        <x:v>Source/HeavensDivide/AutoAttackComponent.h:222</x:v>
      </x:c>
    </x:row>
    <x:row r="328" ht="38" customHeight="1">
      <x:c r="A328" s="6" t="str">
        <x:v>Samurai</x:v>
      </x:c>
      <x:c r="B328" s="6" t="str">
        <x:v>BP_Samurai</x:v>
      </x:c>
      <x:c r="C328" s="6" t="str">
        <x:v>MeleeImmediateThreatRangeFraction</x:v>
      </x:c>
      <x:c r="D328" s="14" t="n">
        <x:v>0.65</x:v>
      </x:c>
      <x:c r="E328" s="6" t="str">
        <x:v>raw numeric</x:v>
      </x:c>
      <x:c r="F328" s="6" t="str">
        <x:v>Saved AutoAttackComponent default; stance parameters may override</x:v>
      </x:c>
      <x:c r="G328" s="6" t="str">
        <x:v>/Game/HeavensDivide/Blueprints/PlayerCharacters/BP_Samurai</x:v>
      </x:c>
      <x:c r="H328" s="6" t="str">
        <x:v>Source/HeavensDivide/AutoAttackComponent.h:225</x:v>
      </x:c>
    </x:row>
    <x:row r="329" ht="38" customHeight="1">
      <x:c r="A329" s="6" t="str">
        <x:v>Samurai</x:v>
      </x:c>
      <x:c r="B329" s="6" t="str">
        <x:v>BP_Samurai</x:v>
      </x:c>
      <x:c r="C329" s="6" t="str">
        <x:v>ProjectileSpeed</x:v>
      </x:c>
      <x:c r="D329" s="13" t="n">
        <x:v>1800</x:v>
      </x:c>
      <x:c r="E329" s="6" t="str">
        <x:v>cm/s</x:v>
      </x:c>
      <x:c r="F329" s="6" t="str">
        <x:v>Saved AutoAttackComponent default; stance parameters may override</x:v>
      </x:c>
      <x:c r="G329" s="6" t="str">
        <x:v>/Game/HeavensDivide/Blueprints/PlayerCharacters/BP_Samurai</x:v>
      </x:c>
      <x:c r="H329" s="6" t="str">
        <x:v>Source/HeavensDivide/AutoAttackComponent.h:133</x:v>
      </x:c>
    </x:row>
    <x:row r="330" ht="38" customHeight="1">
      <x:c r="A330" s="6" t="str">
        <x:v>Samurai</x:v>
      </x:c>
      <x:c r="B330" s="6" t="str">
        <x:v>BP_Samurai</x:v>
      </x:c>
      <x:c r="C330" s="6" t="str">
        <x:v>ReadyTargetCheckInterval</x:v>
      </x:c>
      <x:c r="D330" s="14" t="n">
        <x:v>0.15</x:v>
      </x:c>
      <x:c r="E330" s="6" t="str">
        <x:v>s</x:v>
      </x:c>
      <x:c r="F330" s="6" t="str">
        <x:v>Saved AutoAttackComponent default; stance parameters may override</x:v>
      </x:c>
      <x:c r="G330" s="6" t="str">
        <x:v>/Game/HeavensDivide/Blueprints/PlayerCharacters/BP_Samurai</x:v>
      </x:c>
      <x:c r="H330" s="6" t="str">
        <x:v>Source/HeavensDivide/AutoAttackComponent.h:179</x:v>
      </x:c>
    </x:row>
    <x:row r="331" ht="38" customHeight="1">
      <x:c r="A331" s="6" t="str">
        <x:v>Samurai</x:v>
      </x:c>
      <x:c r="B331" s="6" t="str">
        <x:v>BP_Samurai</x:v>
      </x:c>
      <x:c r="C331" s="6" t="str">
        <x:v>SamuraiPushbackDistance</x:v>
      </x:c>
      <x:c r="D331" s="13" t="n">
        <x:v>25</x:v>
      </x:c>
      <x:c r="E331" s="6" t="str">
        <x:v>raw numeric</x:v>
      </x:c>
      <x:c r="F331" s="6" t="str">
        <x:v>Saved AutoAttackComponent default; stance parameters may override</x:v>
      </x:c>
      <x:c r="G331" s="6" t="str">
        <x:v>/Game/HeavensDivide/Blueprints/PlayerCharacters/BP_Samurai</x:v>
      </x:c>
      <x:c r="H331" s="6" t="str">
        <x:v>Source/HeavensDivide/AutoAttackComponent.h:291</x:v>
      </x:c>
    </x:row>
    <x:row r="332" ht="38" customHeight="1">
      <x:c r="A332" s="6" t="str">
        <x:v>Samurai</x:v>
      </x:c>
      <x:c r="B332" s="6" t="str">
        <x:v>BP_Samurai</x:v>
      </x:c>
      <x:c r="C332" s="6" t="str">
        <x:v>SamuraiPushbackDuration</x:v>
      </x:c>
      <x:c r="D332" s="20" t="n">
        <x:v>0.1</x:v>
      </x:c>
      <x:c r="E332" s="6" t="str">
        <x:v>s</x:v>
      </x:c>
      <x:c r="F332" s="6" t="str">
        <x:v>Saved AutoAttackComponent default; stance parameters may override</x:v>
      </x:c>
      <x:c r="G332" s="6" t="str">
        <x:v>/Game/HeavensDivide/Blueprints/PlayerCharacters/BP_Samurai</x:v>
      </x:c>
      <x:c r="H332" s="6" t="str">
        <x:v>Source/HeavensDivide/AutoAttackComponent.h:292</x:v>
      </x:c>
    </x:row>
    <x:row r="333" ht="38" customHeight="1">
      <x:c r="A333" s="6" t="str">
        <x:v>Samurai</x:v>
      </x:c>
      <x:c r="B333" s="6" t="str">
        <x:v>BP_Samurai</x:v>
      </x:c>
      <x:c r="C333" s="6" t="str">
        <x:v>SecondaryTargetDamageMultiplier</x:v>
      </x:c>
      <x:c r="D333" s="13" t="n">
        <x:v>1</x:v>
      </x:c>
      <x:c r="E333" s="6" t="str">
        <x:v>raw numeric</x:v>
      </x:c>
      <x:c r="F333" s="6" t="str">
        <x:v>Saved AutoAttackComponent default; stance parameters may override</x:v>
      </x:c>
      <x:c r="G333" s="6" t="str">
        <x:v>/Game/HeavensDivide/Blueprints/PlayerCharacters/BP_Samurai</x:v>
      </x:c>
      <x:c r="H333" s="6" t="str">
        <x:v>Source/HeavensDivide/AutoAttackComponent.h:204</x:v>
      </x:c>
    </x:row>
    <x:row r="334" ht="38" customHeight="1">
      <x:c r="A334" s="6" t="str">
        <x:v>Samurai</x:v>
      </x:c>
      <x:c r="B334" s="6" t="str">
        <x:v>BP_Samurai</x:v>
      </x:c>
      <x:c r="C334" s="6" t="str">
        <x:v>TargetingRange</x:v>
      </x:c>
      <x:c r="D334" s="13" t="n">
        <x:v>1800</x:v>
      </x:c>
      <x:c r="E334" s="6" t="str">
        <x:v>cm</x:v>
      </x:c>
      <x:c r="F334" s="6" t="str">
        <x:v>Saved AutoAttackComponent default; stance parameters may override</x:v>
      </x:c>
      <x:c r="G334" s="6" t="str">
        <x:v>/Game/HeavensDivide/Blueprints/PlayerCharacters/BP_Samurai</x:v>
      </x:c>
      <x:c r="H334" s="6" t="str">
        <x:v>Source/HeavensDivide/AutoAttackComponent.h:136</x:v>
      </x:c>
    </x:row>
  </x:sheetData>
  <x:mergeCells>
    <x:mergeCell ref="A2:E2"/>
    <x:mergeCell ref="A3:E3"/>
  </x:mergeCells>
  <x:conditionalFormatting sqref="F6:F334">
    <x:cfRule type="containsText" dxfId="2" priority="1" operator="containsText" text="No runtime reader"/>
  </x:conditionalFormatting>
  <x:pageMargins left="0.7" right="0.7" top="0.75" bottom="0.75" header="0.3" footer="0.3"/>
  <x:tableParts count="1">
    <x:tablePart xmlns:r="http://schemas.openxmlformats.org/officeDocument/2006/relationships" r:id="Rb1d06cbe0e204309"/>
  </x:tableParts>
</x:worksheet>
</file>

<file path=xl/worksheets/sheet6.xml><?xml version="1.0" encoding="utf-8"?>
<x:worksheet xmlns:x="http://schemas.openxmlformats.org/spreadsheetml/2006/main">
  <x:sheetPr>
    <x:tabColor rgb="FF176B7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.5" hidden="0" customWidth="1"/>
    <x:col min="2" max="2" width="21.8799991607666" hidden="0" customWidth="1"/>
    <x:col min="3" max="3" width="23.75" hidden="0" customWidth="1"/>
    <x:col min="4" max="4" width="27.5" hidden="0" customWidth="1"/>
    <x:col min="5" max="5" width="51.880001068115234" hidden="0" customWidth="1"/>
    <x:col min="6" max="6" width="8.75" hidden="0" customWidth="1"/>
    <x:col min="7" max="7" width="11.880000114440918" hidden="0" customWidth="1"/>
    <x:col min="8" max="8" width="11.25" hidden="0" customWidth="1"/>
    <x:col min="9" max="9" width="16.8799991607666" hidden="0" customWidth="1"/>
    <x:col min="10" max="10" width="15.630000114440918" hidden="0" customWidth="1"/>
    <x:col min="11" max="11" width="35" hidden="0" customWidth="1"/>
    <x:col min="12" max="12" width="21.25" hidden="0" customWidth="1"/>
    <x:col min="13" max="13" width="50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9" customHeight="1">
      <x:c r="A2" s="3" t="str">
        <x:v>Permanent skills and stance bonuses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4" customHeight="1">
      <x:c r="A3" s="5" t="str">
        <x:v>48 nodes from DA_GlobalBalance.Skills. Cost formula: MetaSkillTree.cpp:193, in Soul Embers. Stance unlocks cost Soul Sigils. Combo recipe nodes use current native definitions.</x:v>
      </x:c>
      <x:c r="B3" s="6"/>
      <x:c r="C3" s="6"/>
      <x:c r="D3" s="6"/>
      <x:c r="E3" s="6"/>
      <x:c r="F3" s="2"/>
      <x:c r="G3" s="2"/>
      <x:c r="H3" s="2"/>
      <x:c r="I3" s="2"/>
      <x:c r="J3" s="2"/>
      <x:c r="K3" s="2"/>
      <x:c r="L3" s="2"/>
      <x:c r="M3" s="2"/>
    </x:row>
    <x:row r="4" ht="8" customHeight="1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</x:row>
    <x:row r="5" ht="34" customHeight="1">
      <x:c r="A5" s="12" t="str">
        <x:v>Page</x:v>
      </x:c>
      <x:c r="B5" s="12" t="str">
        <x:v>Applies to</x:v>
      </x:c>
      <x:c r="C5" s="12" t="str">
        <x:v>Skill</x:v>
      </x:c>
      <x:c r="D5" s="12" t="str">
        <x:v>Stable ID</x:v>
      </x:c>
      <x:c r="E5" s="12" t="str">
        <x:v>Current description</x:v>
      </x:c>
      <x:c r="F5" s="12" t="str">
        <x:v>Max rank</x:v>
      </x:c>
      <x:c r="G5" s="12" t="str">
        <x:v>Per rank</x:v>
      </x:c>
      <x:c r="H5" s="12" t="str">
        <x:v>Base cost</x:v>
      </x:c>
      <x:c r="I5" s="12" t="str">
        <x:v>Contribution at cap</x:v>
      </x:c>
      <x:c r="J5" s="12" t="str">
        <x:v>Total cost at cap</x:v>
      </x:c>
      <x:c r="K5" s="12" t="str">
        <x:v>Prerequisites</x:v>
      </x:c>
      <x:c r="L5" s="12" t="str">
        <x:v>Effect ID</x:v>
      </x:c>
      <x:c r="M5" s="12" t="str">
        <x:v>Runtime note</x:v>
      </x:c>
    </x:row>
    <x:row r="6" ht="30" customHeight="1">
      <x:c r="A6" s="6" t="str">
        <x:v>Stats</x:v>
      </x:c>
      <x:c r="B6" s="6" t="str">
        <x:v>Both heroes</x:v>
      </x:c>
      <x:c r="C6" s="6" t="str">
        <x:v>Living Flame</x:v>
      </x:c>
      <x:c r="D6" s="6" t="str">
        <x:v>Root.Vitality</x:v>
      </x:c>
      <x:c r="E6" s="6" t="str">
        <x:v>+4% maximum health per rank.</x:v>
      </x:c>
      <x:c r="F6" s="6" t="n">
        <x:v>3</x:v>
      </x:c>
      <x:c r="G6" s="15" t="n">
        <x:v>0.04</x:v>
      </x:c>
      <x:c r="H6" s="13" t="n">
        <x:v>5</x:v>
      </x:c>
      <x:c r="I6" s="16" t="n">
        <x:f>F6*G6</x:f>
        <x:v>0.12</x:v>
      </x:c>
      <x:c r="J6" s="24" t="n">
        <x:f>3*H6*F6*(F6+1)/2</x:f>
        <x:v>90</x:v>
      </x:c>
      <x:c r="K6" s="6" t="str">
        <x:v>None</x:v>
      </x:c>
      <x:c r="L6" s="6" t="str">
        <x:v>Health</x:v>
      </x:c>
      <x:c r="M6" s="6" t="str"/>
    </x:row>
    <x:row r="7" ht="30" customHeight="1">
      <x:c r="A7" s="6" t="str">
        <x:v>Stats</x:v>
      </x:c>
      <x:c r="B7" s="6" t="str">
        <x:v>Both heroes</x:v>
      </x:c>
      <x:c r="C7" s="6" t="str">
        <x:v>Ember Reach</x:v>
      </x:c>
      <x:c r="D7" s="6" t="str">
        <x:v>Root.Gather</x:v>
      </x:c>
      <x:c r="E7" s="6" t="str">
        <x:v>+16% XP pickup radius per rank.</x:v>
      </x:c>
      <x:c r="F7" s="6" t="n">
        <x:v>3</x:v>
      </x:c>
      <x:c r="G7" s="15" t="n">
        <x:v>0.16</x:v>
      </x:c>
      <x:c r="H7" s="13" t="n">
        <x:v>5</x:v>
      </x:c>
      <x:c r="I7" s="16" t="n">
        <x:f>F7*G7</x:f>
        <x:v>0.48</x:v>
      </x:c>
      <x:c r="J7" s="24" t="n">
        <x:f>3*H7*F7*(F7+1)/2</x:f>
        <x:v>90</x:v>
      </x:c>
      <x:c r="K7" s="6" t="str">
        <x:v>Root.Vitality</x:v>
      </x:c>
      <x:c r="L7" s="6" t="str">
        <x:v>Pickup</x:v>
      </x:c>
      <x:c r="M7" s="6" t="str"/>
    </x:row>
    <x:row r="8" ht="30" customHeight="1">
      <x:c r="A8" s="6" t="str">
        <x:v>Stats</x:v>
      </x:c>
      <x:c r="B8" s="6" t="str">
        <x:v>Both heroes</x:v>
      </x:c>
      <x:c r="C8" s="6" t="str">
        <x:v>Inner Fire</x:v>
      </x:c>
      <x:c r="D8" s="6" t="str">
        <x:v>Root.Strength</x:v>
      </x:c>
      <x:c r="E8" s="6" t="str">
        <x:v>+3% damage for both heroes per rank.</x:v>
      </x:c>
      <x:c r="F8" s="6" t="n">
        <x:v>3</x:v>
      </x:c>
      <x:c r="G8" s="15" t="n">
        <x:v>0.03</x:v>
      </x:c>
      <x:c r="H8" s="13" t="n">
        <x:v>10</x:v>
      </x:c>
      <x:c r="I8" s="16" t="n">
        <x:f>F8*G8</x:f>
        <x:v>0.09</x:v>
      </x:c>
      <x:c r="J8" s="24" t="n">
        <x:f>3*H8*F8*(F8+1)/2</x:f>
        <x:v>180</x:v>
      </x:c>
      <x:c r="K8" s="6" t="str">
        <x:v>Root.Vitality</x:v>
      </x:c>
      <x:c r="L8" s="6" t="str">
        <x:v>Damage</x:v>
      </x:c>
      <x:c r="M8" s="6" t="str"/>
    </x:row>
    <x:row r="9" ht="30" customHeight="1">
      <x:c r="A9" s="6" t="str">
        <x:v>Stats</x:v>
      </x:c>
      <x:c r="B9" s="6" t="str">
        <x:v>Both heroes</x:v>
      </x:c>
      <x:c r="C9" s="6" t="str">
        <x:v>Pilgrim's Step</x:v>
      </x:c>
      <x:c r="D9" s="6" t="str">
        <x:v>Root.Step</x:v>
      </x:c>
      <x:c r="E9" s="6" t="str">
        <x:v>+2% movement speed per rank.</x:v>
      </x:c>
      <x:c r="F9" s="6" t="n">
        <x:v>3</x:v>
      </x:c>
      <x:c r="G9" s="15" t="n">
        <x:v>0.02</x:v>
      </x:c>
      <x:c r="H9" s="13" t="n">
        <x:v>10</x:v>
      </x:c>
      <x:c r="I9" s="16" t="n">
        <x:f>F9*G9</x:f>
        <x:v>0.06</x:v>
      </x:c>
      <x:c r="J9" s="24" t="n">
        <x:f>3*H9*F9*(F9+1)/2</x:f>
        <x:v>180</x:v>
      </x:c>
      <x:c r="K9" s="6" t="str">
        <x:v>Root.Gather</x:v>
      </x:c>
      <x:c r="L9" s="6" t="str">
        <x:v>Move</x:v>
      </x:c>
      <x:c r="M9" s="6" t="str"/>
    </x:row>
    <x:row r="10" ht="38" customHeight="1">
      <x:c r="A10" s="6" t="str">
        <x:v>Stats</x:v>
      </x:c>
      <x:c r="B10" s="6" t="str">
        <x:v>Both heroes</x:v>
      </x:c>
      <x:c r="C10" s="6" t="str">
        <x:v>Steady Breath</x:v>
      </x:c>
      <x:c r="D10" s="6" t="str">
        <x:v>Root.Tempo</x:v>
      </x:c>
      <x:c r="E10" s="6" t="str">
        <x:v>+2% attack cadence per rank: attack rate, Iaijutsu charge speed, Fang flight speed, or Shuriken hit frequency.</x:v>
      </x:c>
      <x:c r="F10" s="6" t="n">
        <x:v>3</x:v>
      </x:c>
      <x:c r="G10" s="15" t="n">
        <x:v>0.02</x:v>
      </x:c>
      <x:c r="H10" s="13" t="n">
        <x:v>15</x:v>
      </x:c>
      <x:c r="I10" s="16" t="n">
        <x:f>F10*G10</x:f>
        <x:v>0.06</x:v>
      </x:c>
      <x:c r="J10" s="24" t="n">
        <x:f>3*H10*F10*(F10+1)/2</x:f>
        <x:v>270</x:v>
      </x:c>
      <x:c r="K10" s="6" t="str">
        <x:v>Root.Strength</x:v>
      </x:c>
      <x:c r="L10" s="6" t="str">
        <x:v>Attack</x:v>
      </x:c>
      <x:c r="M10" s="6" t="str"/>
    </x:row>
    <x:row r="11" ht="30" customHeight="1">
      <x:c r="A11" s="6" t="str">
        <x:v>Stats</x:v>
      </x:c>
      <x:c r="B11" s="6" t="str">
        <x:v>Both heroes</x:v>
      </x:c>
      <x:c r="C11" s="6" t="str">
        <x:v>Deep Reserves</x:v>
      </x:c>
      <x:c r="D11" s="6" t="str">
        <x:v>Root.Endurance</x:v>
      </x:c>
      <x:c r="E11" s="6" t="str">
        <x:v>+5% maximum health per rank.</x:v>
      </x:c>
      <x:c r="F11" s="6" t="n">
        <x:v>3</x:v>
      </x:c>
      <x:c r="G11" s="15" t="n">
        <x:v>0.05</x:v>
      </x:c>
      <x:c r="H11" s="13" t="n">
        <x:v>15</x:v>
      </x:c>
      <x:c r="I11" s="16" t="n">
        <x:f>F11*G11</x:f>
        <x:v>0.15000000000000002</x:v>
      </x:c>
      <x:c r="J11" s="24" t="n">
        <x:f>3*H11*F11*(F11+1)/2</x:f>
        <x:v>270</x:v>
      </x:c>
      <x:c r="K11" s="6" t="str">
        <x:v>Root.Strength</x:v>
      </x:c>
      <x:c r="L11" s="6" t="str">
        <x:v>Health</x:v>
      </x:c>
      <x:c r="M11" s="6" t="str"/>
    </x:row>
    <x:row r="12" ht="30" customHeight="1">
      <x:c r="A12" s="6" t="str">
        <x:v>Abilities</x:v>
      </x:c>
      <x:c r="B12" s="6" t="str">
        <x:v>Both heroes</x:v>
      </x:c>
      <x:c r="C12" s="6" t="str">
        <x:v>Second Wind</x:v>
      </x:c>
      <x:c r="D12" s="6" t="str">
        <x:v>Root.Dash</x:v>
      </x:c>
      <x:c r="E12" s="6" t="str">
        <x:v>+1 maximum dash charge.</x:v>
      </x:c>
      <x:c r="F12" s="6" t="n">
        <x:v>1</x:v>
      </x:c>
      <x:c r="G12" s="13" t="n">
        <x:v>1</x:v>
      </x:c>
      <x:c r="H12" s="13" t="n">
        <x:v>20</x:v>
      </x:c>
      <x:c r="I12" s="17" t="n">
        <x:f>F12*G12</x:f>
        <x:v>1</x:v>
      </x:c>
      <x:c r="J12" s="24" t="n">
        <x:f>3*H12*F12*(F12+1)/2</x:f>
        <x:v>60</x:v>
      </x:c>
      <x:c r="K12" s="6" t="str">
        <x:v>None</x:v>
      </x:c>
      <x:c r="L12" s="6" t="str">
        <x:v>Dash</x:v>
      </x:c>
      <x:c r="M12" s="6" t="str"/>
    </x:row>
    <x:row r="13" ht="30" customHeight="1">
      <x:c r="A13" s="6" t="str">
        <x:v>Stats</x:v>
      </x:c>
      <x:c r="B13" s="6" t="str">
        <x:v>Both heroes</x:v>
      </x:c>
      <x:c r="C13" s="6" t="str">
        <x:v>Far Horizon</x:v>
      </x:c>
      <x:c r="D13" s="6" t="str">
        <x:v>Root.Horizon</x:v>
      </x:c>
      <x:c r="E13" s="6" t="str">
        <x:v>+40% XP pickup radius.</x:v>
      </x:c>
      <x:c r="F13" s="6" t="n">
        <x:v>1</x:v>
      </x:c>
      <x:c r="G13" s="15" t="n">
        <x:v>0.4</x:v>
      </x:c>
      <x:c r="H13" s="13" t="n">
        <x:v>20</x:v>
      </x:c>
      <x:c r="I13" s="16" t="n">
        <x:f>F13*G13</x:f>
        <x:v>0.4</x:v>
      </x:c>
      <x:c r="J13" s="24" t="n">
        <x:f>3*H13*F13*(F13+1)/2</x:f>
        <x:v>60</x:v>
      </x:c>
      <x:c r="K13" s="6" t="str">
        <x:v>Root.Step</x:v>
      </x:c>
      <x:c r="L13" s="6" t="str">
        <x:v>Pickup</x:v>
      </x:c>
      <x:c r="M13" s="6" t="str"/>
    </x:row>
    <x:row r="14" ht="30" customHeight="1">
      <x:c r="A14" s="6" t="str">
        <x:v>Abilities</x:v>
      </x:c>
      <x:c r="B14" s="6" t="str">
        <x:v>Both heroes</x:v>
      </x:c>
      <x:c r="C14" s="6" t="str">
        <x:v>Crossing Souls</x:v>
      </x:c>
      <x:c r="D14" s="6" t="str">
        <x:v>Bond.Flow</x:v>
      </x:c>
      <x:c r="E14" s="6" t="str">
        <x:v>+5% swap recharge speed per rank.</x:v>
      </x:c>
      <x:c r="F14" s="6" t="n">
        <x:v>3</x:v>
      </x:c>
      <x:c r="G14" s="15" t="n">
        <x:v>0.05</x:v>
      </x:c>
      <x:c r="H14" s="13" t="n">
        <x:v>5</x:v>
      </x:c>
      <x:c r="I14" s="16" t="n">
        <x:f>F14*G14</x:f>
        <x:v>0.15000000000000002</x:v>
      </x:c>
      <x:c r="J14" s="24" t="n">
        <x:f>3*H14*F14*(F14+1)/2</x:f>
        <x:v>90</x:v>
      </x:c>
      <x:c r="K14" s="6" t="str">
        <x:v>None</x:v>
      </x:c>
      <x:c r="L14" s="6" t="str">
        <x:v>Swap</x:v>
      </x:c>
      <x:c r="M14" s="6" t="str"/>
    </x:row>
    <x:row r="15" ht="30" customHeight="1">
      <x:c r="A15" s="6" t="str">
        <x:v>Abilities</x:v>
      </x:c>
      <x:c r="B15" s="6" t="str">
        <x:v>Both heroes</x:v>
      </x:c>
      <x:c r="C15" s="6" t="str">
        <x:v>Seamless Relay</x:v>
      </x:c>
      <x:c r="D15" s="6" t="str">
        <x:v>Bond.Relay</x:v>
      </x:c>
      <x:c r="E15" s="6" t="str">
        <x:v>+5% swap recharge speed per rank.</x:v>
      </x:c>
      <x:c r="F15" s="6" t="n">
        <x:v>3</x:v>
      </x:c>
      <x:c r="G15" s="15" t="n">
        <x:v>0.05</x:v>
      </x:c>
      <x:c r="H15" s="13" t="n">
        <x:v>10</x:v>
      </x:c>
      <x:c r="I15" s="16" t="n">
        <x:f>F15*G15</x:f>
        <x:v>0.15000000000000002</x:v>
      </x:c>
      <x:c r="J15" s="24" t="n">
        <x:f>3*H15*F15*(F15+1)/2</x:f>
        <x:v>180</x:v>
      </x:c>
      <x:c r="K15" s="6" t="str">
        <x:v>Bond.Flow</x:v>
      </x:c>
      <x:c r="L15" s="6" t="str">
        <x:v>Swap</x:v>
      </x:c>
      <x:c r="M15" s="6" t="str"/>
    </x:row>
    <x:row r="16" ht="30" customHeight="1">
      <x:c r="A16" s="6" t="str">
        <x:v>Stats</x:v>
      </x:c>
      <x:c r="B16" s="6" t="str">
        <x:v>Both heroes</x:v>
      </x:c>
      <x:c r="C16" s="6" t="str">
        <x:v>Two Souls, One Will</x:v>
      </x:c>
      <x:c r="D16" s="6" t="str">
        <x:v>Bond.Unity</x:v>
      </x:c>
      <x:c r="E16" s="6" t="str">
        <x:v>+8% damage for both heroes.</x:v>
      </x:c>
      <x:c r="F16" s="6" t="n">
        <x:v>1</x:v>
      </x:c>
      <x:c r="G16" s="15" t="n">
        <x:v>0.08</x:v>
      </x:c>
      <x:c r="H16" s="13" t="n">
        <x:v>20</x:v>
      </x:c>
      <x:c r="I16" s="16" t="n">
        <x:f>F16*G16</x:f>
        <x:v>0.08</x:v>
      </x:c>
      <x:c r="J16" s="24" t="n">
        <x:f>3*H16*F16*(F16+1)/2</x:f>
        <x:v>60</x:v>
      </x:c>
      <x:c r="K16" s="6" t="str">
        <x:v>Root.Strength</x:v>
      </x:c>
      <x:c r="L16" s="6" t="str">
        <x:v>Damage</x:v>
      </x:c>
      <x:c r="M16" s="6" t="str"/>
    </x:row>
    <x:row r="17" ht="38" customHeight="1">
      <x:c r="A17" s="6" t="str">
        <x:v>Stats</x:v>
      </x:c>
      <x:c r="B17" s="6" t="str">
        <x:v>Both heroes</x:v>
      </x:c>
      <x:c r="C17" s="6" t="str">
        <x:v>Heaven Undivided</x:v>
      </x:c>
      <x:c r="D17" s="6" t="str">
        <x:v>Bond.Rhythm</x:v>
      </x:c>
      <x:c r="E17" s="6" t="str">
        <x:v>+8% attack cadence per rank: attack rate, Iaijutsu charge speed, Fang flight speed, or Shuriken hit frequency.</x:v>
      </x:c>
      <x:c r="F17" s="6" t="n">
        <x:v>1</x:v>
      </x:c>
      <x:c r="G17" s="15" t="n">
        <x:v>0.08</x:v>
      </x:c>
      <x:c r="H17" s="13" t="n">
        <x:v>20</x:v>
      </x:c>
      <x:c r="I17" s="16" t="n">
        <x:f>F17*G17</x:f>
        <x:v>0.08</x:v>
      </x:c>
      <x:c r="J17" s="24" t="n">
        <x:f>3*H17*F17*(F17+1)/2</x:f>
        <x:v>60</x:v>
      </x:c>
      <x:c r="K17" s="6" t="str">
        <x:v>Root.Tempo</x:v>
      </x:c>
      <x:c r="L17" s="6" t="str">
        <x:v>Attack</x:v>
      </x:c>
      <x:c r="M17" s="6" t="str"/>
    </x:row>
    <x:row r="18" ht="38" customHeight="1">
      <x:c r="A18" s="6" t="str">
        <x:v>Abilities</x:v>
      </x:c>
      <x:c r="B18" s="6" t="str">
        <x:v>Both heroes</x:v>
      </x:c>
      <x:c r="C18" s="6" t="str">
        <x:v>Reroll</x:v>
      </x:c>
      <x:c r="D18" s="6" t="str">
        <x:v>Bond.Reroll</x:v>
      </x:c>
      <x:c r="E18" s="6" t="str">
        <x:v>Unlock 3 rerolls per run. Replace your level-up upgrade choices.</x:v>
      </x:c>
      <x:c r="F18" s="6" t="n">
        <x:v>1</x:v>
      </x:c>
      <x:c r="G18" s="13" t="n">
        <x:v>3</x:v>
      </x:c>
      <x:c r="H18" s="13" t="n">
        <x:v>15</x:v>
      </x:c>
      <x:c r="I18" s="17" t="n">
        <x:f>F18*G18</x:f>
        <x:v>3</x:v>
      </x:c>
      <x:c r="J18" s="24" t="n">
        <x:f>3*H18*F18*(F18+1)/2</x:f>
        <x:v>45</x:v>
      </x:c>
      <x:c r="K18" s="6" t="str">
        <x:v>None</x:v>
      </x:c>
      <x:c r="L18" s="6" t="str">
        <x:v>Reroll</x:v>
      </x:c>
      <x:c r="M18" s="6" t="str"/>
    </x:row>
    <x:row r="19" ht="38" customHeight="1">
      <x:c r="A19" s="6" t="str">
        <x:v>Abilities</x:v>
      </x:c>
      <x:c r="B19" s="6" t="str">
        <x:v>Both heroes</x:v>
      </x:c>
      <x:c r="C19" s="6" t="str">
        <x:v>Banish</x:v>
      </x:c>
      <x:c r="D19" s="6" t="str">
        <x:v>Bond.Banish</x:v>
      </x:c>
      <x:c r="E19" s="6" t="str">
        <x:v>Unlock 2 banishes per run. Replace a chosen upgrade and remove it from future offers for that run.</x:v>
      </x:c>
      <x:c r="F19" s="6" t="n">
        <x:v>1</x:v>
      </x:c>
      <x:c r="G19" s="13" t="n">
        <x:v>2</x:v>
      </x:c>
      <x:c r="H19" s="13" t="n">
        <x:v>15</x:v>
      </x:c>
      <x:c r="I19" s="17" t="n">
        <x:f>F19*G19</x:f>
        <x:v>2</x:v>
      </x:c>
      <x:c r="J19" s="24" t="n">
        <x:f>3*H19*F19*(F19+1)/2</x:f>
        <x:v>45</x:v>
      </x:c>
      <x:c r="K19" s="6" t="str">
        <x:v>Bond.Reroll</x:v>
      </x:c>
      <x:c r="L19" s="6" t="str">
        <x:v>Banish</x:v>
      </x:c>
      <x:c r="M19" s="6" t="str"/>
    </x:row>
    <x:row r="20" ht="30" customHeight="1">
      <x:c r="A20" s="6" t="str">
        <x:v>Stats</x:v>
      </x:c>
      <x:c r="B20" s="6" t="str">
        <x:v>Samurai / all stances</x:v>
      </x:c>
      <x:c r="C20" s="6" t="str">
        <x:v>Tempered Edge</x:v>
      </x:c>
      <x:c r="D20" s="6" t="str">
        <x:v>Steel.Edge</x:v>
      </x:c>
      <x:c r="E20" s="6" t="str">
        <x:v>+4% Samurai direct damage per rank.</x:v>
      </x:c>
      <x:c r="F20" s="6" t="n">
        <x:v>3</x:v>
      </x:c>
      <x:c r="G20" s="15" t="n">
        <x:v>0.04</x:v>
      </x:c>
      <x:c r="H20" s="13" t="n">
        <x:v>5</x:v>
      </x:c>
      <x:c r="I20" s="16" t="n">
        <x:f>F20*G20</x:f>
        <x:v>0.12</x:v>
      </x:c>
      <x:c r="J20" s="24" t="n">
        <x:f>3*H20*F20*(F20+1)/2</x:f>
        <x:v>90</x:v>
      </x:c>
      <x:c r="K20" s="6" t="str">
        <x:v>Root.Vitality</x:v>
      </x:c>
      <x:c r="L20" s="6" t="str">
        <x:v>SteelDamage</x:v>
      </x:c>
      <x:c r="M20" s="6" t="str"/>
    </x:row>
    <x:row r="21" ht="38" customHeight="1">
      <x:c r="A21" s="6" t="str">
        <x:v>Stats</x:v>
      </x:c>
      <x:c r="B21" s="6" t="str">
        <x:v>Samurai / all stances</x:v>
      </x:c>
      <x:c r="C21" s="6" t="str">
        <x:v>Draw and Cut</x:v>
      </x:c>
      <x:c r="D21" s="6" t="str">
        <x:v>Steel.Tempo</x:v>
      </x:c>
      <x:c r="E21" s="6" t="str">
        <x:v>+3% attack cadence per rank: attack rate, Iaijutsu charge speed, Fang flight speed, or Shuriken hit frequency.</x:v>
      </x:c>
      <x:c r="F21" s="6" t="n">
        <x:v>3</x:v>
      </x:c>
      <x:c r="G21" s="15" t="n">
        <x:v>0.03</x:v>
      </x:c>
      <x:c r="H21" s="13" t="n">
        <x:v>10</x:v>
      </x:c>
      <x:c r="I21" s="16" t="n">
        <x:f>F21*G21</x:f>
        <x:v>0.09</x:v>
      </x:c>
      <x:c r="J21" s="24" t="n">
        <x:f>3*H21*F21*(F21+1)/2</x:f>
        <x:v>180</x:v>
      </x:c>
      <x:c r="K21" s="6" t="str">
        <x:v>Steel.Edge</x:v>
      </x:c>
      <x:c r="L21" s="6" t="str">
        <x:v>SteelAttack</x:v>
      </x:c>
      <x:c r="M21" s="6" t="str"/>
    </x:row>
    <x:row r="22" ht="30" customHeight="1">
      <x:c r="A22" s="6" t="str">
        <x:v>Stats</x:v>
      </x:c>
      <x:c r="B22" s="6" t="str">
        <x:v>Samurai / all stances</x:v>
      </x:c>
      <x:c r="C22" s="6" t="str">
        <x:v>Mountain Splitter</x:v>
      </x:c>
      <x:c r="D22" s="6" t="str">
        <x:v>Steel.Power</x:v>
      </x:c>
      <x:c r="E22" s="6" t="str">
        <x:v>+4% Samurai direct damage per rank.</x:v>
      </x:c>
      <x:c r="F22" s="6" t="n">
        <x:v>3</x:v>
      </x:c>
      <x:c r="G22" s="15" t="n">
        <x:v>0.04</x:v>
      </x:c>
      <x:c r="H22" s="13" t="n">
        <x:v>15</x:v>
      </x:c>
      <x:c r="I22" s="16" t="n">
        <x:f>F22*G22</x:f>
        <x:v>0.12</x:v>
      </x:c>
      <x:c r="J22" s="24" t="n">
        <x:f>3*H22*F22*(F22+1)/2</x:f>
        <x:v>270</x:v>
      </x:c>
      <x:c r="K22" s="6" t="str">
        <x:v>Steel.Tempo</x:v>
      </x:c>
      <x:c r="L22" s="6" t="str">
        <x:v>SteelDamage</x:v>
      </x:c>
      <x:c r="M22" s="6" t="str"/>
    </x:row>
    <x:row r="23" ht="38" customHeight="1">
      <x:c r="A23" s="6" t="str">
        <x:v>Stats</x:v>
      </x:c>
      <x:c r="B23" s="6" t="str">
        <x:v>Samurai / all stances</x:v>
      </x:c>
      <x:c r="C23" s="6" t="str">
        <x:v>Perfect Form</x:v>
      </x:c>
      <x:c r="D23" s="6" t="str">
        <x:v>Steel.Resolve</x:v>
      </x:c>
      <x:c r="E23" s="6" t="str">
        <x:v>+8% attack cadence per rank: attack rate, Iaijutsu charge speed, Fang flight speed, or Shuriken hit frequency.</x:v>
      </x:c>
      <x:c r="F23" s="6" t="n">
        <x:v>1</x:v>
      </x:c>
      <x:c r="G23" s="15" t="n">
        <x:v>0.08</x:v>
      </x:c>
      <x:c r="H23" s="13" t="n">
        <x:v>20</x:v>
      </x:c>
      <x:c r="I23" s="16" t="n">
        <x:f>F23*G23</x:f>
        <x:v>0.08</x:v>
      </x:c>
      <x:c r="J23" s="24" t="n">
        <x:f>3*H23*F23*(F23+1)/2</x:f>
        <x:v>60</x:v>
      </x:c>
      <x:c r="K23" s="6" t="str">
        <x:v>Steel.Power</x:v>
      </x:c>
      <x:c r="L23" s="6" t="str">
        <x:v>SteelAttack</x:v>
      </x:c>
      <x:c r="M23" s="6" t="str"/>
    </x:row>
    <x:row r="24" ht="30" customHeight="1">
      <x:c r="A24" s="6" t="str">
        <x:v>Stats</x:v>
      </x:c>
      <x:c r="B24" s="6" t="str">
        <x:v>Ninja / all stances</x:v>
      </x:c>
      <x:c r="C24" s="6" t="str">
        <x:v>Hidden Edge</x:v>
      </x:c>
      <x:c r="D24" s="6" t="str">
        <x:v>Shadow.Edge</x:v>
      </x:c>
      <x:c r="E24" s="6" t="str">
        <x:v>+4% Ninja direct damage per rank.</x:v>
      </x:c>
      <x:c r="F24" s="6" t="n">
        <x:v>3</x:v>
      </x:c>
      <x:c r="G24" s="15" t="n">
        <x:v>0.04</x:v>
      </x:c>
      <x:c r="H24" s="13" t="n">
        <x:v>5</x:v>
      </x:c>
      <x:c r="I24" s="16" t="n">
        <x:f>F24*G24</x:f>
        <x:v>0.12</x:v>
      </x:c>
      <x:c r="J24" s="24" t="n">
        <x:f>3*H24*F24*(F24+1)/2</x:f>
        <x:v>90</x:v>
      </x:c>
      <x:c r="K24" s="6" t="str">
        <x:v>Root.Vitality</x:v>
      </x:c>
      <x:c r="L24" s="6" t="str">
        <x:v>ShadowDamage</x:v>
      </x:c>
      <x:c r="M24" s="6" t="str"/>
    </x:row>
    <x:row r="25" ht="38" customHeight="1">
      <x:c r="A25" s="6" t="str">
        <x:v>Stats</x:v>
      </x:c>
      <x:c r="B25" s="6" t="str">
        <x:v>Ninja / all stances</x:v>
      </x:c>
      <x:c r="C25" s="6" t="str">
        <x:v>Flickering Hands</x:v>
      </x:c>
      <x:c r="D25" s="6" t="str">
        <x:v>Shadow.Tempo</x:v>
      </x:c>
      <x:c r="E25" s="6" t="str">
        <x:v>+3% attack cadence per rank: attack rate, Iaijutsu charge speed, Fang flight speed, or Shuriken hit frequency.</x:v>
      </x:c>
      <x:c r="F25" s="6" t="n">
        <x:v>3</x:v>
      </x:c>
      <x:c r="G25" s="15" t="n">
        <x:v>0.03</x:v>
      </x:c>
      <x:c r="H25" s="13" t="n">
        <x:v>10</x:v>
      </x:c>
      <x:c r="I25" s="16" t="n">
        <x:f>F25*G25</x:f>
        <x:v>0.09</x:v>
      </x:c>
      <x:c r="J25" s="24" t="n">
        <x:f>3*H25*F25*(F25+1)/2</x:f>
        <x:v>180</x:v>
      </x:c>
      <x:c r="K25" s="6" t="str">
        <x:v>Shadow.Edge</x:v>
      </x:c>
      <x:c r="L25" s="6" t="str">
        <x:v>ShadowAttack</x:v>
      </x:c>
      <x:c r="M25" s="6" t="str"/>
    </x:row>
    <x:row r="26" ht="30" customHeight="1">
      <x:c r="A26" s="6" t="str">
        <x:v>Stats</x:v>
      </x:c>
      <x:c r="B26" s="6" t="str">
        <x:v>Ninja / all stances</x:v>
      </x:c>
      <x:c r="C26" s="6" t="str">
        <x:v>Assassin's Patience</x:v>
      </x:c>
      <x:c r="D26" s="6" t="str">
        <x:v>Shadow.Power</x:v>
      </x:c>
      <x:c r="E26" s="6" t="str">
        <x:v>+4% Ninja direct damage per rank.</x:v>
      </x:c>
      <x:c r="F26" s="6" t="n">
        <x:v>3</x:v>
      </x:c>
      <x:c r="G26" s="15" t="n">
        <x:v>0.04</x:v>
      </x:c>
      <x:c r="H26" s="13" t="n">
        <x:v>15</x:v>
      </x:c>
      <x:c r="I26" s="16" t="n">
        <x:f>F26*G26</x:f>
        <x:v>0.12</x:v>
      </x:c>
      <x:c r="J26" s="24" t="n">
        <x:f>3*H26*F26*(F26+1)/2</x:f>
        <x:v>270</x:v>
      </x:c>
      <x:c r="K26" s="6" t="str">
        <x:v>Shadow.Tempo</x:v>
      </x:c>
      <x:c r="L26" s="6" t="str">
        <x:v>ShadowDamage</x:v>
      </x:c>
      <x:c r="M26" s="6" t="str"/>
    </x:row>
    <x:row r="27" ht="38" customHeight="1">
      <x:c r="A27" s="6" t="str">
        <x:v>Stats</x:v>
      </x:c>
      <x:c r="B27" s="6" t="str">
        <x:v>Ninja / all stances</x:v>
      </x:c>
      <x:c r="C27" s="6" t="str">
        <x:v>Unbroken Motion</x:v>
      </x:c>
      <x:c r="D27" s="6" t="str">
        <x:v>Shadow.Resolve</x:v>
      </x:c>
      <x:c r="E27" s="6" t="str">
        <x:v>+8% attack cadence per rank: attack rate, Iaijutsu charge speed, Fang flight speed, or Shuriken hit frequency.</x:v>
      </x:c>
      <x:c r="F27" s="6" t="n">
        <x:v>1</x:v>
      </x:c>
      <x:c r="G27" s="15" t="n">
        <x:v>0.08</x:v>
      </x:c>
      <x:c r="H27" s="13" t="n">
        <x:v>20</x:v>
      </x:c>
      <x:c r="I27" s="16" t="n">
        <x:f>F27*G27</x:f>
        <x:v>0.08</x:v>
      </x:c>
      <x:c r="J27" s="24" t="n">
        <x:f>3*H27*F27*(F27+1)/2</x:f>
        <x:v>60</x:v>
      </x:c>
      <x:c r="K27" s="6" t="str">
        <x:v>Shadow.Power</x:v>
      </x:c>
      <x:c r="L27" s="6" t="str">
        <x:v>ShadowAttack</x:v>
      </x:c>
      <x:c r="M27" s="6" t="str"/>
    </x:row>
    <x:row r="28" ht="38" customHeight="1">
      <x:c r="A28" s="6" t="str">
        <x:v>Stances</x:v>
      </x:c>
      <x:c r="B28" s="6" t="str">
        <x:v>Blood</x:v>
      </x:c>
      <x:c r="C28" s="6" t="str">
        <x:v>Crimson Edge</x:v>
      </x:c>
      <x:c r="D28" s="6" t="str">
        <x:v>Blood.Edge</x:v>
      </x:c>
      <x:c r="E28" s="6" t="str">
        <x:v>+3% Blood stance direct damage per rank.</x:v>
      </x:c>
      <x:c r="F28" s="6" t="n">
        <x:v>3</x:v>
      </x:c>
      <x:c r="G28" s="15" t="n">
        <x:v>0.03</x:v>
      </x:c>
      <x:c r="H28" s="13" t="n">
        <x:v>10</x:v>
      </x:c>
      <x:c r="I28" s="16" t="n">
        <x:f>F28*G28</x:f>
        <x:v>0.09</x:v>
      </x:c>
      <x:c r="J28" s="24" t="n">
        <x:f>3*H28*F28*(F28+1)/2</x:f>
        <x:v>180</x:v>
      </x:c>
      <x:c r="K28" s="6" t="str">
        <x:v>None</x:v>
      </x:c>
      <x:c r="L28" s="6" t="str">
        <x:v>SteelDamage</x:v>
      </x:c>
      <x:c r="M28" s="6" t="str">
        <x:v>Required stance must be owned and unlocked; benefits assisting hero too.</x:v>
      </x:c>
    </x:row>
    <x:row r="29" ht="38" customHeight="1">
      <x:c r="A29" s="6" t="str">
        <x:v>Stances</x:v>
      </x:c>
      <x:c r="B29" s="6" t="str">
        <x:v>Blood</x:v>
      </x:c>
      <x:c r="C29" s="6" t="str">
        <x:v>Sweeping Steel</x:v>
      </x:c>
      <x:c r="D29" s="6" t="str">
        <x:v>Blood.Reach</x:v>
      </x:c>
      <x:c r="E29" s="6" t="str">
        <x:v>+4% Blood stance melee and blood-burst radius per rank.</x:v>
      </x:c>
      <x:c r="F29" s="6" t="n">
        <x:v>3</x:v>
      </x:c>
      <x:c r="G29" s="15" t="n">
        <x:v>0.04</x:v>
      </x:c>
      <x:c r="H29" s="13" t="n">
        <x:v>15</x:v>
      </x:c>
      <x:c r="I29" s="16" t="n">
        <x:f>F29*G29</x:f>
        <x:v>0.12</x:v>
      </x:c>
      <x:c r="J29" s="24" t="n">
        <x:f>3*H29*F29*(F29+1)/2</x:f>
        <x:v>270</x:v>
      </x:c>
      <x:c r="K29" s="6" t="str">
        <x:v>Blood.Edge</x:v>
      </x:c>
      <x:c r="L29" s="6" t="str">
        <x:v>SteelArea</x:v>
      </x:c>
      <x:c r="M29" s="6" t="str">
        <x:v>F02: text promises blood-burst radius, but runtime only increases melee radius.</x:v>
      </x:c>
    </x:row>
    <x:row r="30" ht="38" customHeight="1">
      <x:c r="A30" s="6" t="str">
        <x:v>Stances</x:v>
      </x:c>
      <x:c r="B30" s="6" t="str">
        <x:v>Blood</x:v>
      </x:c>
      <x:c r="C30" s="6" t="str">
        <x:v>Unclosing Wounds</x:v>
      </x:c>
      <x:c r="D30" s="6" t="str">
        <x:v>Blood.Vein</x:v>
      </x:c>
      <x:c r="E30" s="6" t="str">
        <x:v>+20% Bleed damage while using Blood stance.</x:v>
      </x:c>
      <x:c r="F30" s="6" t="n">
        <x:v>1</x:v>
      </x:c>
      <x:c r="G30" s="15" t="n">
        <x:v>0.2</x:v>
      </x:c>
      <x:c r="H30" s="13" t="n">
        <x:v>20</x:v>
      </x:c>
      <x:c r="I30" s="16" t="n">
        <x:f>F30*G30</x:f>
        <x:v>0.2</x:v>
      </x:c>
      <x:c r="J30" s="24" t="n">
        <x:f>3*H30*F30*(F30+1)/2</x:f>
        <x:v>60</x:v>
      </x:c>
      <x:c r="K30" s="6" t="str">
        <x:v>Blood.Reach</x:v>
      </x:c>
      <x:c r="L30" s="6" t="str">
        <x:v>Bleed</x:v>
      </x:c>
      <x:c r="M30" s="6" t="str">
        <x:v>Required stance must be owned and unlocked; benefits assisting hero too.</x:v>
      </x:c>
    </x:row>
    <x:row r="31" ht="38" customHeight="1">
      <x:c r="A31" s="6" t="str">
        <x:v>Stances</x:v>
      </x:c>
      <x:c r="B31" s="6" t="str">
        <x:v>Iaijutsu</x:v>
      </x:c>
      <x:c r="C31" s="6" t="str">
        <x:v>Drawn in Silence</x:v>
      </x:c>
      <x:c r="D31" s="6" t="str">
        <x:v>Iaijutsu.Edge</x:v>
      </x:c>
      <x:c r="E31" s="6" t="str">
        <x:v>+3% Iaijutsu direct damage per rank.</x:v>
      </x:c>
      <x:c r="F31" s="6" t="n">
        <x:v>3</x:v>
      </x:c>
      <x:c r="G31" s="15" t="n">
        <x:v>0.03</x:v>
      </x:c>
      <x:c r="H31" s="13" t="n">
        <x:v>10</x:v>
      </x:c>
      <x:c r="I31" s="16" t="n">
        <x:f>F31*G31</x:f>
        <x:v>0.09</x:v>
      </x:c>
      <x:c r="J31" s="24" t="n">
        <x:f>3*H31*F31*(F31+1)/2</x:f>
        <x:v>180</x:v>
      </x:c>
      <x:c r="K31" s="6" t="str">
        <x:v>None</x:v>
      </x:c>
      <x:c r="L31" s="6" t="str">
        <x:v>SteelDamage</x:v>
      </x:c>
      <x:c r="M31" s="6" t="str">
        <x:v>Required stance must be owned and unlocked; benefits assisting hero too.</x:v>
      </x:c>
    </x:row>
    <x:row r="32" ht="38" customHeight="1">
      <x:c r="A32" s="6" t="str">
        <x:v>Stances</x:v>
      </x:c>
      <x:c r="B32" s="6" t="str">
        <x:v>Iaijutsu</x:v>
      </x:c>
      <x:c r="C32" s="6" t="str">
        <x:v>Heaven's Divide</x:v>
      </x:c>
      <x:c r="D32" s="6" t="str">
        <x:v>Iaijutsu.Width</x:v>
      </x:c>
      <x:c r="E32" s="6" t="str">
        <x:v>+4% Iaijutsu slash width per rank.</x:v>
      </x:c>
      <x:c r="F32" s="6" t="n">
        <x:v>3</x:v>
      </x:c>
      <x:c r="G32" s="15" t="n">
        <x:v>0.04</x:v>
      </x:c>
      <x:c r="H32" s="13" t="n">
        <x:v>15</x:v>
      </x:c>
      <x:c r="I32" s="16" t="n">
        <x:f>F32*G32</x:f>
        <x:v>0.12</x:v>
      </x:c>
      <x:c r="J32" s="24" t="n">
        <x:f>3*H32*F32*(F32+1)/2</x:f>
        <x:v>270</x:v>
      </x:c>
      <x:c r="K32" s="6" t="str">
        <x:v>Iaijutsu.Edge</x:v>
      </x:c>
      <x:c r="L32" s="6" t="str">
        <x:v>SteelArea</x:v>
      </x:c>
      <x:c r="M32" s="6" t="str">
        <x:v>Required stance must be owned and unlocked; benefits assisting hero too.</x:v>
      </x:c>
    </x:row>
    <x:row r="33" ht="38" customHeight="1">
      <x:c r="A33" s="6" t="str">
        <x:v>Stances</x:v>
      </x:c>
      <x:c r="B33" s="6" t="str">
        <x:v>Iaijutsu</x:v>
      </x:c>
      <x:c r="C33" s="6" t="str">
        <x:v>Stillness Before Dawn</x:v>
      </x:c>
      <x:c r="D33" s="6" t="str">
        <x:v>Iaijutsu.Focus</x:v>
      </x:c>
      <x:c r="E33" s="6" t="str">
        <x:v>+12% Iaijutsu charge speed.</x:v>
      </x:c>
      <x:c r="F33" s="6" t="n">
        <x:v>1</x:v>
      </x:c>
      <x:c r="G33" s="15" t="n">
        <x:v>0.12</x:v>
      </x:c>
      <x:c r="H33" s="13" t="n">
        <x:v>20</x:v>
      </x:c>
      <x:c r="I33" s="16" t="n">
        <x:f>F33*G33</x:f>
        <x:v>0.12</x:v>
      </x:c>
      <x:c r="J33" s="24" t="n">
        <x:f>3*H33*F33*(F33+1)/2</x:f>
        <x:v>60</x:v>
      </x:c>
      <x:c r="K33" s="6" t="str">
        <x:v>Iaijutsu.Width</x:v>
      </x:c>
      <x:c r="L33" s="6" t="str">
        <x:v>IaijutsuCharge</x:v>
      </x:c>
      <x:c r="M33" s="6" t="str">
        <x:v>Required stance must be owned and unlocked; benefits assisting hero too.</x:v>
      </x:c>
    </x:row>
    <x:row r="34" ht="38" customHeight="1">
      <x:c r="A34" s="6" t="str">
        <x:v>Stances</x:v>
      </x:c>
      <x:c r="B34" s="6" t="str">
        <x:v>Crescent</x:v>
      </x:c>
      <x:c r="C34" s="6" t="str">
        <x:v>Moonlit Edge</x:v>
      </x:c>
      <x:c r="D34" s="6" t="str">
        <x:v>Crescent.Edge</x:v>
      </x:c>
      <x:c r="E34" s="6" t="str">
        <x:v>+3% Crescent direct damage per rank.</x:v>
      </x:c>
      <x:c r="F34" s="6" t="n">
        <x:v>3</x:v>
      </x:c>
      <x:c r="G34" s="15" t="n">
        <x:v>0.03</x:v>
      </x:c>
      <x:c r="H34" s="13" t="n">
        <x:v>10</x:v>
      </x:c>
      <x:c r="I34" s="16" t="n">
        <x:f>F34*G34</x:f>
        <x:v>0.09</x:v>
      </x:c>
      <x:c r="J34" s="24" t="n">
        <x:f>3*H34*F34*(F34+1)/2</x:f>
        <x:v>180</x:v>
      </x:c>
      <x:c r="K34" s="6" t="str">
        <x:v>None</x:v>
      </x:c>
      <x:c r="L34" s="6" t="str">
        <x:v>SteelDamage</x:v>
      </x:c>
      <x:c r="M34" s="6" t="str">
        <x:v>Required stance must be owned and unlocked; benefits assisting hero too.</x:v>
      </x:c>
    </x:row>
    <x:row r="35" ht="38" customHeight="1">
      <x:c r="A35" s="6" t="str">
        <x:v>Stances</x:v>
      </x:c>
      <x:c r="B35" s="6" t="str">
        <x:v>Crescent</x:v>
      </x:c>
      <x:c r="C35" s="6" t="str">
        <x:v>Wide Horizon</x:v>
      </x:c>
      <x:c r="D35" s="6" t="str">
        <x:v>Crescent.Width</x:v>
      </x:c>
      <x:c r="E35" s="6" t="str">
        <x:v>+4% Crescent wave and lingering-field width per rank.</x:v>
      </x:c>
      <x:c r="F35" s="6" t="n">
        <x:v>3</x:v>
      </x:c>
      <x:c r="G35" s="15" t="n">
        <x:v>0.04</x:v>
      </x:c>
      <x:c r="H35" s="13" t="n">
        <x:v>15</x:v>
      </x:c>
      <x:c r="I35" s="16" t="n">
        <x:f>F35*G35</x:f>
        <x:v>0.12</x:v>
      </x:c>
      <x:c r="J35" s="24" t="n">
        <x:f>3*H35*F35*(F35+1)/2</x:f>
        <x:v>270</x:v>
      </x:c>
      <x:c r="K35" s="6" t="str">
        <x:v>Crescent.Edge</x:v>
      </x:c>
      <x:c r="L35" s="6" t="str">
        <x:v>SteelArea</x:v>
      </x:c>
      <x:c r="M35" s="6" t="str">
        <x:v>Required stance must be owned and unlocked; benefits assisting hero too.</x:v>
      </x:c>
    </x:row>
    <x:row r="36" ht="38" customHeight="1">
      <x:c r="A36" s="6" t="str">
        <x:v>Stances</x:v>
      </x:c>
      <x:c r="B36" s="6" t="str">
        <x:v>Crescent</x:v>
      </x:c>
      <x:c r="C36" s="6" t="str">
        <x:v>Flowing Moon</x:v>
      </x:c>
      <x:c r="D36" s="6" t="str">
        <x:v>Crescent.Flow</x:v>
      </x:c>
      <x:c r="E36" s="6" t="str">
        <x:v>+12% attack cadence per rank: attack rate, Iaijutsu charge speed, Fang flight speed, or Shuriken hit frequency.</x:v>
      </x:c>
      <x:c r="F36" s="6" t="n">
        <x:v>1</x:v>
      </x:c>
      <x:c r="G36" s="15" t="n">
        <x:v>0.12</x:v>
      </x:c>
      <x:c r="H36" s="13" t="n">
        <x:v>20</x:v>
      </x:c>
      <x:c r="I36" s="16" t="n">
        <x:f>F36*G36</x:f>
        <x:v>0.12</x:v>
      </x:c>
      <x:c r="J36" s="24" t="n">
        <x:f>3*H36*F36*(F36+1)/2</x:f>
        <x:v>60</x:v>
      </x:c>
      <x:c r="K36" s="6" t="str">
        <x:v>Crescent.Width</x:v>
      </x:c>
      <x:c r="L36" s="6" t="str">
        <x:v>SteelAttack</x:v>
      </x:c>
      <x:c r="M36" s="6" t="str">
        <x:v>Required stance must be owned and unlocked; benefits assisting hero too.</x:v>
      </x:c>
    </x:row>
    <x:row r="37" ht="38" customHeight="1">
      <x:c r="A37" s="6" t="str">
        <x:v>Stances</x:v>
      </x:c>
      <x:c r="B37" s="6" t="str">
        <x:v>Returning Fang</x:v>
      </x:c>
      <x:c r="C37" s="6" t="str">
        <x:v>Returning Edge</x:v>
      </x:c>
      <x:c r="D37" s="6" t="str">
        <x:v>Fang.Edge</x:v>
      </x:c>
      <x:c r="E37" s="6" t="str">
        <x:v>+3% Returning Fang direct damage per rank.</x:v>
      </x:c>
      <x:c r="F37" s="6" t="n">
        <x:v>3</x:v>
      </x:c>
      <x:c r="G37" s="15" t="n">
        <x:v>0.03</x:v>
      </x:c>
      <x:c r="H37" s="13" t="n">
        <x:v>10</x:v>
      </x:c>
      <x:c r="I37" s="16" t="n">
        <x:f>F37*G37</x:f>
        <x:v>0.09</x:v>
      </x:c>
      <x:c r="J37" s="24" t="n">
        <x:f>3*H37*F37*(F37+1)/2</x:f>
        <x:v>180</x:v>
      </x:c>
      <x:c r="K37" s="6" t="str">
        <x:v>None</x:v>
      </x:c>
      <x:c r="L37" s="6" t="str">
        <x:v>ShadowDamage</x:v>
      </x:c>
      <x:c r="M37" s="6" t="str">
        <x:v>Required stance must be owned and unlocked; benefits assisting hero too.</x:v>
      </x:c>
    </x:row>
    <x:row r="38" ht="38" customHeight="1">
      <x:c r="A38" s="6" t="str">
        <x:v>Stances</x:v>
      </x:c>
      <x:c r="B38" s="6" t="str">
        <x:v>Returning Fang</x:v>
      </x:c>
      <x:c r="C38" s="6" t="str">
        <x:v>Patient Hunter</x:v>
      </x:c>
      <x:c r="D38" s="6" t="str">
        <x:v>Fang.Reach</x:v>
      </x:c>
      <x:c r="E38" s="6" t="str">
        <x:v>+4% Returning Fang targeting range per rank.</x:v>
      </x:c>
      <x:c r="F38" s="6" t="n">
        <x:v>3</x:v>
      </x:c>
      <x:c r="G38" s="15" t="n">
        <x:v>0.04</x:v>
      </x:c>
      <x:c r="H38" s="13" t="n">
        <x:v>15</x:v>
      </x:c>
      <x:c r="I38" s="16" t="n">
        <x:f>F38*G38</x:f>
        <x:v>0.12</x:v>
      </x:c>
      <x:c r="J38" s="24" t="n">
        <x:f>3*H38*F38*(F38+1)/2</x:f>
        <x:v>270</x:v>
      </x:c>
      <x:c r="K38" s="6" t="str">
        <x:v>Fang.Edge</x:v>
      </x:c>
      <x:c r="L38" s="6" t="str">
        <x:v>FangRange</x:v>
      </x:c>
      <x:c r="M38" s="6" t="str">
        <x:v>Required stance must be owned and unlocked; benefits assisting hero too.</x:v>
      </x:c>
    </x:row>
    <x:row r="39" ht="38" customHeight="1">
      <x:c r="A39" s="6" t="str">
        <x:v>Stances</x:v>
      </x:c>
      <x:c r="B39" s="6" t="str">
        <x:v>Returning Fang</x:v>
      </x:c>
      <x:c r="C39" s="6" t="str">
        <x:v>Homeward Wind</x:v>
      </x:c>
      <x:c r="D39" s="6" t="str">
        <x:v>Fang.Flight</x:v>
      </x:c>
      <x:c r="E39" s="6" t="str">
        <x:v>+12% Returning Fang travel speed.</x:v>
      </x:c>
      <x:c r="F39" s="6" t="n">
        <x:v>1</x:v>
      </x:c>
      <x:c r="G39" s="15" t="n">
        <x:v>0.12</x:v>
      </x:c>
      <x:c r="H39" s="13" t="n">
        <x:v>20</x:v>
      </x:c>
      <x:c r="I39" s="16" t="n">
        <x:f>F39*G39</x:f>
        <x:v>0.12</x:v>
      </x:c>
      <x:c r="J39" s="24" t="n">
        <x:f>3*H39*F39*(F39+1)/2</x:f>
        <x:v>60</x:v>
      </x:c>
      <x:c r="K39" s="6" t="str">
        <x:v>Fang.Reach</x:v>
      </x:c>
      <x:c r="L39" s="6" t="str">
        <x:v>ShadowFlight</x:v>
      </x:c>
      <x:c r="M39" s="6" t="str">
        <x:v>Required stance must be owned and unlocked; benefits assisting hero too.</x:v>
      </x:c>
    </x:row>
    <x:row r="40" ht="38" customHeight="1">
      <x:c r="A40" s="6" t="str">
        <x:v>Stances</x:v>
      </x:c>
      <x:c r="B40" s="6" t="str">
        <x:v>Barrage</x:v>
      </x:c>
      <x:c r="C40" s="6" t="str">
        <x:v>Needlepoint</x:v>
      </x:c>
      <x:c r="D40" s="6" t="str">
        <x:v>Barrage.Edge</x:v>
      </x:c>
      <x:c r="E40" s="6" t="str">
        <x:v>+3% Barrage direct damage per rank.</x:v>
      </x:c>
      <x:c r="F40" s="6" t="n">
        <x:v>3</x:v>
      </x:c>
      <x:c r="G40" s="15" t="n">
        <x:v>0.03</x:v>
      </x:c>
      <x:c r="H40" s="13" t="n">
        <x:v>10</x:v>
      </x:c>
      <x:c r="I40" s="16" t="n">
        <x:f>F40*G40</x:f>
        <x:v>0.09</x:v>
      </x:c>
      <x:c r="J40" s="24" t="n">
        <x:f>3*H40*F40*(F40+1)/2</x:f>
        <x:v>180</x:v>
      </x:c>
      <x:c r="K40" s="6" t="str">
        <x:v>None</x:v>
      </x:c>
      <x:c r="L40" s="6" t="str">
        <x:v>ShadowDamage</x:v>
      </x:c>
      <x:c r="M40" s="6" t="str">
        <x:v>Required stance must be owned and unlocked; benefits assisting hero too.</x:v>
      </x:c>
    </x:row>
    <x:row r="41" ht="38" customHeight="1">
      <x:c r="A41" s="6" t="str">
        <x:v>Stances</x:v>
      </x:c>
      <x:c r="B41" s="6" t="str">
        <x:v>Barrage</x:v>
      </x:c>
      <x:c r="C41" s="6" t="str">
        <x:v>Relentless Rhythm</x:v>
      </x:c>
      <x:c r="D41" s="6" t="str">
        <x:v>Barrage.Tempo</x:v>
      </x:c>
      <x:c r="E41" s="6" t="str">
        <x:v>+3% attack cadence per rank: attack rate, Iaijutsu charge speed, Fang flight speed, or Shuriken hit frequency.</x:v>
      </x:c>
      <x:c r="F41" s="6" t="n">
        <x:v>3</x:v>
      </x:c>
      <x:c r="G41" s="15" t="n">
        <x:v>0.03</x:v>
      </x:c>
      <x:c r="H41" s="13" t="n">
        <x:v>15</x:v>
      </x:c>
      <x:c r="I41" s="16" t="n">
        <x:f>F41*G41</x:f>
        <x:v>0.09</x:v>
      </x:c>
      <x:c r="J41" s="24" t="n">
        <x:f>3*H41*F41*(F41+1)/2</x:f>
        <x:v>270</x:v>
      </x:c>
      <x:c r="K41" s="6" t="str">
        <x:v>Barrage.Edge</x:v>
      </x:c>
      <x:c r="L41" s="6" t="str">
        <x:v>ShadowAttack</x:v>
      </x:c>
      <x:c r="M41" s="6" t="str">
        <x:v>Required stance must be owned and unlocked; benefits assisting hero too.</x:v>
      </x:c>
    </x:row>
    <x:row r="42" ht="38" customHeight="1">
      <x:c r="A42" s="6" t="str">
        <x:v>Stances</x:v>
      </x:c>
      <x:c r="B42" s="6" t="str">
        <x:v>Barrage</x:v>
      </x:c>
      <x:c r="C42" s="6" t="str">
        <x:v>Thousand Needles</x:v>
      </x:c>
      <x:c r="D42" s="6" t="str">
        <x:v>Barrage.Twin</x:v>
      </x:c>
      <x:c r="E42" s="6" t="str">
        <x:v>+1 projectile per Barrage volley.</x:v>
      </x:c>
      <x:c r="F42" s="6" t="n">
        <x:v>1</x:v>
      </x:c>
      <x:c r="G42" s="13" t="n">
        <x:v>1</x:v>
      </x:c>
      <x:c r="H42" s="13" t="n">
        <x:v>20</x:v>
      </x:c>
      <x:c r="I42" s="17" t="n">
        <x:f>F42*G42</x:f>
        <x:v>1</x:v>
      </x:c>
      <x:c r="J42" s="24" t="n">
        <x:f>3*H42*F42*(F42+1)/2</x:f>
        <x:v>60</x:v>
      </x:c>
      <x:c r="K42" s="6" t="str">
        <x:v>Barrage.Tempo</x:v>
      </x:c>
      <x:c r="L42" s="6" t="str">
        <x:v>Projectile</x:v>
      </x:c>
      <x:c r="M42" s="6" t="str">
        <x:v>Required stance must be owned and unlocked; benefits assisting hero too.</x:v>
      </x:c>
    </x:row>
    <x:row r="43" ht="38" customHeight="1">
      <x:c r="A43" s="6" t="str">
        <x:v>Stances</x:v>
      </x:c>
      <x:c r="B43" s="6" t="str">
        <x:v>Giant Shuriken</x:v>
      </x:c>
      <x:c r="C43" s="6" t="str">
        <x:v>Turning Blade</x:v>
      </x:c>
      <x:c r="D43" s="6" t="str">
        <x:v>Shuriken.Edge</x:v>
      </x:c>
      <x:c r="E43" s="6" t="str">
        <x:v>+3% Great Shuriken direct damage per rank.</x:v>
      </x:c>
      <x:c r="F43" s="6" t="n">
        <x:v>3</x:v>
      </x:c>
      <x:c r="G43" s="15" t="n">
        <x:v>0.03</x:v>
      </x:c>
      <x:c r="H43" s="13" t="n">
        <x:v>10</x:v>
      </x:c>
      <x:c r="I43" s="16" t="n">
        <x:f>F43*G43</x:f>
        <x:v>0.09</x:v>
      </x:c>
      <x:c r="J43" s="24" t="n">
        <x:f>3*H43*F43*(F43+1)/2</x:f>
        <x:v>180</x:v>
      </x:c>
      <x:c r="K43" s="6" t="str">
        <x:v>None</x:v>
      </x:c>
      <x:c r="L43" s="6" t="str">
        <x:v>ShadowDamage</x:v>
      </x:c>
      <x:c r="M43" s="6" t="str">
        <x:v>Required stance must be owned and unlocked; benefits assisting hero too.</x:v>
      </x:c>
    </x:row>
    <x:row r="44" ht="38" customHeight="1">
      <x:c r="A44" s="6" t="str">
        <x:v>Stances</x:v>
      </x:c>
      <x:c r="B44" s="6" t="str">
        <x:v>Giant Shuriken</x:v>
      </x:c>
      <x:c r="C44" s="6" t="str">
        <x:v>Widening Circle</x:v>
      </x:c>
      <x:c r="D44" s="6" t="str">
        <x:v>Shuriken.Size</x:v>
      </x:c>
      <x:c r="E44" s="6" t="str">
        <x:v>+4% Great Shuriken blade radius per rank.</x:v>
      </x:c>
      <x:c r="F44" s="6" t="n">
        <x:v>3</x:v>
      </x:c>
      <x:c r="G44" s="15" t="n">
        <x:v>0.04</x:v>
      </x:c>
      <x:c r="H44" s="13" t="n">
        <x:v>15</x:v>
      </x:c>
      <x:c r="I44" s="16" t="n">
        <x:f>F44*G44</x:f>
        <x:v>0.12</x:v>
      </x:c>
      <x:c r="J44" s="24" t="n">
        <x:f>3*H44*F44*(F44+1)/2</x:f>
        <x:v>270</x:v>
      </x:c>
      <x:c r="K44" s="6" t="str">
        <x:v>Shuriken.Edge</x:v>
      </x:c>
      <x:c r="L44" s="6" t="str">
        <x:v>ShurikenSize</x:v>
      </x:c>
      <x:c r="M44" s="6" t="str">
        <x:v>Required stance must be owned and unlocked; benefits assisting hero too.</x:v>
      </x:c>
    </x:row>
    <x:row r="45" ht="38" customHeight="1">
      <x:c r="A45" s="6" t="str">
        <x:v>Stances</x:v>
      </x:c>
      <x:c r="B45" s="6" t="str">
        <x:v>Giant Shuriken</x:v>
      </x:c>
      <x:c r="C45" s="6" t="str">
        <x:v>Endless Wheel</x:v>
      </x:c>
      <x:c r="D45" s="6" t="str">
        <x:v>Shuriken.Grind</x:v>
      </x:c>
      <x:c r="E45" s="6" t="str">
        <x:v>+12% Great Shuriken contact and pulse frequency.</x:v>
      </x:c>
      <x:c r="F45" s="6" t="n">
        <x:v>1</x:v>
      </x:c>
      <x:c r="G45" s="15" t="n">
        <x:v>0.12</x:v>
      </x:c>
      <x:c r="H45" s="13" t="n">
        <x:v>20</x:v>
      </x:c>
      <x:c r="I45" s="16" t="n">
        <x:f>F45*G45</x:f>
        <x:v>0.12</x:v>
      </x:c>
      <x:c r="J45" s="24" t="n">
        <x:f>3*H45*F45*(F45+1)/2</x:f>
        <x:v>60</x:v>
      </x:c>
      <x:c r="K45" s="6" t="str">
        <x:v>Shuriken.Size</x:v>
      </x:c>
      <x:c r="L45" s="6" t="str">
        <x:v>ShurikenTempo</x:v>
      </x:c>
      <x:c r="M45" s="6" t="str">
        <x:v>Required stance must be owned and unlocked; benefits assisting hero too.</x:v>
      </x:c>
    </x:row>
    <x:row r="46" ht="38" customHeight="1">
      <x:c r="A46" s="6" t="str">
        <x:v>Stats</x:v>
      </x:c>
      <x:c r="B46" s="6" t="str">
        <x:v>Both heroes</x:v>
      </x:c>
      <x:c r="C46" s="6" t="str">
        <x:v>Expanding Presence</x:v>
      </x:c>
      <x:c r="D46" s="6" t="str">
        <x:v>Root.Area</x:v>
      </x:c>
      <x:c r="E46" s="6" t="str">
        <x:v>+4% attack coverage per rank: melee/slash/wave width, Fang reach, Barrage kunai and pool size, or Shuriken blade size.</x:v>
      </x:c>
      <x:c r="F46" s="6" t="n">
        <x:v>5</x:v>
      </x:c>
      <x:c r="G46" s="15" t="n">
        <x:v>0.04</x:v>
      </x:c>
      <x:c r="H46" s="13" t="n">
        <x:v>10</x:v>
      </x:c>
      <x:c r="I46" s="16" t="n">
        <x:f>F46*G46</x:f>
        <x:v>0.2</x:v>
      </x:c>
      <x:c r="J46" s="24" t="n">
        <x:f>3*H46*F46*(F46+1)/2</x:f>
        <x:v>450</x:v>
      </x:c>
      <x:c r="K46" s="6" t="str">
        <x:v>Root.Gather</x:v>
      </x:c>
      <x:c r="L46" s="6" t="str">
        <x:v>Area</x:v>
      </x:c>
      <x:c r="M46" s="6" t="str"/>
    </x:row>
    <x:row r="47" ht="38" customHeight="1">
      <x:c r="A47" s="6" t="str">
        <x:v>Stats</x:v>
      </x:c>
      <x:c r="B47" s="6" t="str">
        <x:v>Both heroes</x:v>
      </x:c>
      <x:c r="C47" s="6" t="str">
        <x:v>Soul Harvest</x:v>
      </x:c>
      <x:c r="D47" s="6" t="str">
        <x:v>Root.Currency</x:v>
      </x:c>
      <x:c r="E47" s="6" t="str">
        <x:v>+5% Soul Embers and Soul Sigils earned per rank. Small bonuses accumulate across rewards.</x:v>
      </x:c>
      <x:c r="F47" s="6" t="n">
        <x:v>5</x:v>
      </x:c>
      <x:c r="G47" s="15" t="n">
        <x:v>0.05</x:v>
      </x:c>
      <x:c r="H47" s="13" t="n">
        <x:v>15</x:v>
      </x:c>
      <x:c r="I47" s="16" t="n">
        <x:f>F47*G47</x:f>
        <x:v>0.25</x:v>
      </x:c>
      <x:c r="J47" s="24" t="n">
        <x:f>3*H47*F47*(F47+1)/2</x:f>
        <x:v>675</x:v>
      </x:c>
      <x:c r="K47" s="6" t="str">
        <x:v>Root.Area</x:v>
      </x:c>
      <x:c r="L47" s="6" t="str">
        <x:v>Currency</x:v>
      </x:c>
      <x:c r="M47" s="6" t="str"/>
    </x:row>
    <x:row r="48" ht="38" customHeight="1">
      <x:c r="A48" s="6" t="str">
        <x:v>Abilities</x:v>
      </x:c>
      <x:c r="B48" s="6" t="str">
        <x:v>Both heroes</x:v>
      </x:c>
      <x:c r="C48" s="6" t="str">
        <x:v>Soul Convergence</x:v>
      </x:c>
      <x:c r="D48" s="6" t="str">
        <x:v>Ability.ComboUnlock</x:v>
      </x:c>
      <x:c r="E48" s="6" t="str">
        <x:v>Both heroes cast together. Includes Crimson Tempest; equip one shared recipe in Loadout.</x:v>
      </x:c>
      <x:c r="F48" s="6" t="n">
        <x:v>1</x:v>
      </x:c>
      <x:c r="G48" s="13" t="n">
        <x:v>1</x:v>
      </x:c>
      <x:c r="H48" s="13" t="n">
        <x:v>10</x:v>
      </x:c>
      <x:c r="I48" s="17" t="n">
        <x:f>F48*G48</x:f>
        <x:v>1</x:v>
      </x:c>
      <x:c r="J48" s="24" t="n">
        <x:f>3*H48*F48*(F48+1)/2</x:f>
        <x:v>30</x:v>
      </x:c>
      <x:c r="K48" s="6" t="str">
        <x:v>None</x:v>
      </x:c>
      <x:c r="L48" s="6" t="str">
        <x:v>ComboUnlock</x:v>
      </x:c>
      <x:c r="M48" s="6" t="str"/>
    </x:row>
    <x:row r="49" ht="30" customHeight="1">
      <x:c r="A49" s="6" t="str">
        <x:v>Abilities</x:v>
      </x:c>
      <x:c r="B49" s="6" t="str">
        <x:v>Both heroes</x:v>
      </x:c>
      <x:c r="C49" s="6" t="str">
        <x:v>Gathering Resonance</x:v>
      </x:c>
      <x:c r="D49" s="6" t="str">
        <x:v>Ability.ComboCharge</x:v>
      </x:c>
      <x:c r="E49" s="6" t="str">
        <x:v>+5% combo meter gained per rank.</x:v>
      </x:c>
      <x:c r="F49" s="6" t="n">
        <x:v>3</x:v>
      </x:c>
      <x:c r="G49" s="15" t="n">
        <x:v>0.05</x:v>
      </x:c>
      <x:c r="H49" s="13" t="n">
        <x:v>10</x:v>
      </x:c>
      <x:c r="I49" s="16" t="n">
        <x:f>F49*G49</x:f>
        <x:v>0.15000000000000002</x:v>
      </x:c>
      <x:c r="J49" s="24" t="n">
        <x:f>3*H49*F49*(F49+1)/2</x:f>
        <x:v>180</x:v>
      </x:c>
      <x:c r="K49" s="6" t="str">
        <x:v>Ability.ComboUnlock</x:v>
      </x:c>
      <x:c r="L49" s="6" t="str">
        <x:v>ComboCharge</x:v>
      </x:c>
      <x:c r="M49" s="6" t="str"/>
    </x:row>
    <x:row r="50" ht="30" customHeight="1">
      <x:c r="A50" s="6" t="str">
        <x:v>Abilities</x:v>
      </x:c>
      <x:c r="B50" s="6" t="str">
        <x:v>Both heroes</x:v>
      </x:c>
      <x:c r="C50" s="6" t="str">
        <x:v>Resonant Release</x:v>
      </x:c>
      <x:c r="D50" s="6" t="str">
        <x:v>Ability.ComboPower</x:v>
      </x:c>
      <x:c r="E50" s="6" t="str">
        <x:v>+5% combo ability damage per rank.</x:v>
      </x:c>
      <x:c r="F50" s="6" t="n">
        <x:v>3</x:v>
      </x:c>
      <x:c r="G50" s="15" t="n">
        <x:v>0.05</x:v>
      </x:c>
      <x:c r="H50" s="13" t="n">
        <x:v>15</x:v>
      </x:c>
      <x:c r="I50" s="16" t="n">
        <x:f>F50*G50</x:f>
        <x:v>0.15000000000000002</x:v>
      </x:c>
      <x:c r="J50" s="24" t="n">
        <x:f>3*H50*F50*(F50+1)/2</x:f>
        <x:v>270</x:v>
      </x:c>
      <x:c r="K50" s="6" t="str">
        <x:v>Ability.ComboCharge</x:v>
      </x:c>
      <x:c r="L50" s="6" t="str">
        <x:v>ComboPower</x:v>
      </x:c>
      <x:c r="M50" s="6" t="str"/>
    </x:row>
    <x:row r="51" ht="51" customHeight="1">
      <x:c r="A51" s="6" t="str">
        <x:v>Abilities</x:v>
      </x:c>
      <x:c r="B51" s="6" t="str">
        <x:v>Both heroes</x:v>
      </x:c>
      <x:c r="C51" s="6" t="str">
        <x:v>Crimson Tempest</x:v>
      </x:c>
      <x:c r="D51" s="6" t="str">
        <x:v>Ability.Combo.BloodMoon</x:v>
      </x:c>
      <x:c r="E51" s="6" t="str">
        <x:v>Samurai's Blood slash and Ninja's arcing kunai volley. Matching Blood and Barrage upgrades empower their own half. Included with Soul Convergence.</x:v>
      </x:c>
      <x:c r="F51" s="6" t="n">
        <x:v>1</x:v>
      </x:c>
      <x:c r="G51" s="13" t="n">
        <x:v>1</x:v>
      </x:c>
      <x:c r="H51" s="13" t="n">
        <x:v>0</x:v>
      </x:c>
      <x:c r="I51" s="17" t="n">
        <x:f>F51*G51</x:f>
        <x:v>1</x:v>
      </x:c>
      <x:c r="J51" s="24" t="n">
        <x:f>3*H51*F51*(F51+1)/2</x:f>
        <x:v>0</x:v>
      </x:c>
      <x:c r="K51" s="6" t="str">
        <x:v>Ability.ComboUnlock</x:v>
      </x:c>
      <x:c r="L51" s="6" t="str">
        <x:v>ComboChoice.BloodMoon</x:v>
      </x:c>
      <x:c r="M51" s="6" t="str">
        <x:v>Native ComboCatalog replaces saved recipe node at runtime; values agree with current defaults.</x:v>
      </x:c>
    </x:row>
    <x:row r="52" ht="51" customHeight="1">
      <x:c r="A52" s="6" t="str">
        <x:v>Abilities</x:v>
      </x:c>
      <x:c r="B52" s="6" t="str">
        <x:v>Both heroes</x:v>
      </x:c>
      <x:c r="C52" s="6" t="str">
        <x:v>Eclipse Severance</x:v>
      </x:c>
      <x:c r="D52" s="6" t="str">
        <x:v>Ability.Combo.HeavensDivide</x:v>
      </x:c>
      <x:c r="E52" s="6" t="str">
        <x:v>Ninja throws lightning-fast Fangs into the charging Iaijutsu lanes, then Samurai dashes through the slash. Matching Iaijutsu and Fang upgrades empower their own half.</x:v>
      </x:c>
      <x:c r="F52" s="6" t="n">
        <x:v>1</x:v>
      </x:c>
      <x:c r="G52" s="13" t="n">
        <x:v>1</x:v>
      </x:c>
      <x:c r="H52" s="13" t="n">
        <x:v>6</x:v>
      </x:c>
      <x:c r="I52" s="17" t="n">
        <x:f>F52*G52</x:f>
        <x:v>1</x:v>
      </x:c>
      <x:c r="J52" s="24" t="n">
        <x:f>3*H52*F52*(F52+1)/2</x:f>
        <x:v>18</x:v>
      </x:c>
      <x:c r="K52" s="6" t="str">
        <x:v>Ability.ComboUnlock</x:v>
      </x:c>
      <x:c r="L52" s="6" t="str">
        <x:v>ComboChoice.HeavensDivide</x:v>
      </x:c>
      <x:c r="M52" s="6" t="str">
        <x:v>Native ComboCatalog replaces saved recipe node at runtime; values agree with current defaults.</x:v>
      </x:c>
    </x:row>
    <x:row r="53" ht="64" customHeight="1">
      <x:c r="A53" s="6" t="str">
        <x:v>Abilities</x:v>
      </x:c>
      <x:c r="B53" s="6" t="str">
        <x:v>Both heroes</x:v>
      </x:c>
      <x:c r="C53" s="6" t="str">
        <x:v>Lunar Tempest</x:v>
      </x:c>
      <x:c r="D53" s="6" t="str">
        <x:v>Ability.Combo.Moonwell</x:v>
      </x:c>
      <x:c r="E53" s="6" t="str">
        <x:v>Samurai infuses a giant shuriken with Crescent energy. It fires four Crescent slashes in a cross that rotates with the shuriken. Matching Shuriken and Crescent upgrades empower their own half.</x:v>
      </x:c>
      <x:c r="F53" s="6" t="n">
        <x:v>1</x:v>
      </x:c>
      <x:c r="G53" s="13" t="n">
        <x:v>1</x:v>
      </x:c>
      <x:c r="H53" s="13" t="n">
        <x:v>6</x:v>
      </x:c>
      <x:c r="I53" s="17" t="n">
        <x:f>F53*G53</x:f>
        <x:v>1</x:v>
      </x:c>
      <x:c r="J53" s="24" t="n">
        <x:f>3*H53*F53*(F53+1)/2</x:f>
        <x:v>18</x:v>
      </x:c>
      <x:c r="K53" s="6" t="str">
        <x:v>Ability.ComboUnlock</x:v>
      </x:c>
      <x:c r="L53" s="6" t="str">
        <x:v>ComboChoice.Moonwell</x:v>
      </x:c>
      <x:c r="M53" s="6" t="str">
        <x:v>Native ComboCatalog replaces saved recipe node at runtime; values agree with current defaults.</x:v>
      </x:c>
    </x:row>
  </x:sheetData>
  <x:mergeCells>
    <x:mergeCell ref="A2:E2"/>
    <x:mergeCell ref="A3:E3"/>
  </x:mergeCells>
  <x:conditionalFormatting sqref="M6:M53">
    <x:cfRule type="containsText" dxfId="3" priority="1" operator="containsText" text="F02:"/>
  </x:conditionalFormatting>
  <x:pageMargins left="0.7" right="0.7" top="0.75" bottom="0.75" header="0.3" footer="0.3"/>
  <x:tableParts count="1">
    <x:tablePart xmlns:r="http://schemas.openxmlformats.org/officeDocument/2006/relationships" r:id="R473e808b16fc475b"/>
  </x:tableParts>
</x:worksheet>
</file>

<file path=xl/worksheets/sheet7.xml><?xml version="1.0" encoding="utf-8"?>
<x:worksheet xmlns:x="http://schemas.openxmlformats.org/spreadsheetml/2006/main">
  <x:sheetPr>
    <x:tabColor rgb="FF176B7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.1299991607666" hidden="0" customWidth="1"/>
    <x:col min="2" max="2" width="27.5" hidden="0" customWidth="1"/>
    <x:col min="3" max="3" width="60" hidden="0" customWidth="1"/>
    <x:col min="4" max="4" width="61.25" hidden="0" customWidth="1"/>
    <x:col min="5" max="5" width="57.5" hidden="0" customWidth="1"/>
  </x:cols>
  <x:sheetData>
    <x:row r="1" ht="8" customHeight="1">
      <x:c r="A1" s="2"/>
      <x:c r="B1" s="2"/>
      <x:c r="C1" s="2"/>
      <x:c r="D1" s="2"/>
      <x:c r="E1" s="2"/>
    </x:row>
    <x:row r="2" ht="29" customHeight="1">
      <x:c r="A2" s="3" t="str">
        <x:v>Acquisition and upgrade interactions</x:v>
      </x:c>
      <x:c r="B2" s="2"/>
      <x:c r="C2" s="2"/>
      <x:c r="D2" s="2"/>
      <x:c r="E2" s="2"/>
    </x:row>
    <x:row r="3" ht="34" customHeight="1">
      <x:c r="A3" s="5" t="str">
        <x:v>These rules explain conversions, mutually exclusive choices, proc limits, and shared bonuses that a card’s short description cannot fully express.</x:v>
      </x:c>
      <x:c r="B3" s="6"/>
      <x:c r="C3" s="6"/>
      <x:c r="D3" s="2"/>
      <x:c r="E3" s="2"/>
    </x:row>
    <x:row r="4" ht="8" customHeight="1">
      <x:c r="A4" s="7"/>
      <x:c r="B4" s="7"/>
      <x:c r="C4" s="7"/>
      <x:c r="D4" s="7"/>
      <x:c r="E4" s="7"/>
    </x:row>
    <x:row r="5" ht="34" customHeight="1">
      <x:c r="A5" s="12" t="str">
        <x:v>Scope</x:v>
      </x:c>
      <x:c r="B5" s="12" t="str">
        <x:v>Interaction</x:v>
      </x:c>
      <x:c r="C5" s="12" t="str">
        <x:v>Current rule</x:v>
      </x:c>
      <x:c r="D5" s="12" t="str">
        <x:v>Practical consequence</x:v>
      </x:c>
      <x:c r="E5" s="12" t="str">
        <x:v>Implementation source</x:v>
      </x:c>
    </x:row>
    <x:row r="6" ht="38" customHeight="1">
      <x:c r="A6" s="6" t="str">
        <x:v>All</x:v>
      </x:c>
      <x:c r="B6" s="6" t="str">
        <x:v>Stance selection</x:v>
      </x:c>
      <x:c r="C6" s="6" t="str">
        <x:v>One Samurai + one Ninja stance chosen in New Run. Roots are excluded from normal drafts.</x:v>
      </x:c>
      <x:c r="D6" s="6" t="str">
        <x:v>Blood/Barrage free; other four cost 18 Soul Sigils each.</x:v>
      </x:c>
      <x:c r="E6" s="6" t="str">
        <x:v>Source/HeavensDivide/RunLoadoutSubsystem.cpp:140</x:v>
      </x:c>
    </x:row>
    <x:row r="7" ht="38" customHeight="1">
      <x:c r="A7" s="6" t="str">
        <x:v>All</x:v>
      </x:c>
      <x:c r="B7" s="6" t="str">
        <x:v>Normal draft</x:v>
      </x:c>
      <x:c r="C7" s="6" t="str">
        <x:v>Samurai, Ninja and Global categories only; current stance gates apply.</x:v>
      </x:c>
      <x:c r="D7" s="6" t="str">
        <x:v>Mixed offers alternate preferred hero by player level and try to include another category.</x:v>
      </x:c>
      <x:c r="E7" s="6" t="str">
        <x:v>Source/HeavensDivide/UpgradeDraftTools.cpp:15</x:v>
      </x:c>
    </x:row>
    <x:row r="8" ht="38" customHeight="1">
      <x:c r="A8" s="6" t="str">
        <x:v>All</x:v>
      </x:c>
      <x:c r="B8" s="6" t="str">
        <x:v>Blood Shrine</x:v>
      </x:c>
      <x:c r="C8" s="6" t="str">
        <x:v>18 total stance pacts, three per stance. Only owned-stance/prerequisite-eligible pacts are candidates.</x:v>
      </x:c>
      <x:c r="D8" s="6" t="str">
        <x:v>Most pacts can stack; explicit conflicts are listed below.</x:v>
      </x:c>
      <x:c r="E8" s="6" t="str">
        <x:v>Source/HeavensDivide/PlayerUpgradeSelection.cpp:198</x:v>
      </x:c>
    </x:row>
    <x:row r="9" ht="38" customHeight="1">
      <x:c r="A9" s="6" t="str">
        <x:v>All</x:v>
      </x:c>
      <x:c r="B9" s="6" t="str">
        <x:v>Rarity</x:v>
      </x:c>
      <x:c r="C9" s="6" t="str">
        <x:v>Only flagged cards roll Common/Rare/Epic. Fixed Rare supports do not roll a stronger numeric magnitude.</x:v>
      </x:c>
      <x:c r="D9" s="6" t="str">
        <x:v>Saved brackets: 0 min 75/23/2; 5 min 55/38/7; 10 min 40/45/15 percent. Legendary is not rolled.</x:v>
      </x:c>
      <x:c r="E9" s="6" t="str">
        <x:v>Source/HeavensDivide/PlayerUpgradeSelection.cpp:426</x:v>
      </x:c>
    </x:row>
    <x:row r="10" ht="38" customHeight="1">
      <x:c r="A10" s="6" t="str">
        <x:v>All</x:v>
      </x:c>
      <x:c r="B10" s="6" t="str">
        <x:v>Rarity milestone guarantee</x:v>
      </x:c>
      <x:c r="C10" s="6" t="str">
        <x:v>Level 5 guarantees at least one Rare-or-better scalable offer; every fifth level from 10 guarantees an Epic scalable offer.</x:v>
      </x:c>
      <x:c r="D10" s="6" t="str">
        <x:v>Can replace an offer if necessary, but only if an eligible scalable card remains.</x:v>
      </x:c>
      <x:c r="E10" s="6" t="str">
        <x:v>Source/HeavensDivide/PlayerUpgradeSelection.cpp:529</x:v>
      </x:c>
    </x:row>
    <x:row r="11" ht="38" customHeight="1">
      <x:c r="A11" s="6" t="str">
        <x:v>All</x:v>
      </x:c>
      <x:c r="B11" s="6" t="str">
        <x:v>Accumulated magnitude</x:v>
      </x:c>
      <x:c r="C11" s="6" t="str">
        <x:v>Each acquired rolled rank stores the magnitude of that offer.</x:v>
      </x:c>
      <x:c r="D11" s="6" t="str">
        <x:v>Max-rank totals on Rank Scaling assume all ranks of that rarity; mixed runs sum their own purchased values.</x:v>
      </x:c>
      <x:c r="E11" s="6" t="str">
        <x:v>Source/HeavensDivide/PlayerUpgradeComponent.cpp:144</x:v>
      </x:c>
    </x:row>
    <x:row r="12" ht="38" customHeight="1">
      <x:c r="A12" s="6" t="str">
        <x:v>Samurai</x:v>
      </x:c>
      <x:c r="B12" s="6" t="str">
        <x:v>Stat conversion</x:v>
      </x:c>
      <x:c r="C12" s="6" t="str">
        <x:v>Damage / cadence / coverage ranks map to the selected Samurai stance, with relative rarity strength preserved.</x:v>
      </x:c>
      <x:c r="D12" s="6" t="str">
        <x:v>Blood speed becomes Iaijutsu charge or Crescent wave speed. Blood area becomes Iaijutsu width or Crescent range.</x:v>
      </x:c>
      <x:c r="E12" s="6" t="str">
        <x:v>Source/HeavensDivide/PlayerUpgradeRunState.cpp:70</x:v>
      </x:c>
    </x:row>
    <x:row r="13" ht="38" customHeight="1">
      <x:c r="A13" s="6" t="str">
        <x:v>Ninja</x:v>
      </x:c>
      <x:c r="B13" s="6" t="str">
        <x:v>Legacy conversion</x:v>
      </x:c>
      <x:c r="C13" s="6" t="str">
        <x:v>Generic Ninja damage/speed/coverage map into selected-stance stats; legacy supports are suppressed.</x:v>
      </x:c>
      <x:c r="D13" s="6" t="str">
        <x:v>These 11 saved assets are catalogued as unavailable in normal runs, not active choices.</x:v>
      </x:c>
      <x:c r="E13" s="6" t="str">
        <x:v>Source/HeavensDivide/PlayerUpgradeRunState.cpp:71</x:v>
      </x:c>
    </x:row>
    <x:row r="14" ht="38" customHeight="1">
      <x:c r="A14" s="6" t="str">
        <x:v>Blood</x:v>
      </x:c>
      <x:c r="B14" s="6" t="str">
        <x:v>Detonation versus Transfer</x:v>
      </x:c>
      <x:c r="C14" s="6" t="str">
        <x:v>Blood Detonation disables Transfer, including future acquisition.</x:v>
      </x:c>
      <x:c r="D14" s="6" t="str">
        <x:v>Crimson Reach remains eligible after either mechanic. Detonation does not inherit generic area.</x:v>
      </x:c>
      <x:c r="E14" s="6" t="str">
        <x:v>Source/HeavensDivide/PlayerUpgradeComponent.cpp:68</x:v>
      </x:c>
    </x:row>
    <x:row r="15" ht="38" customHeight="1">
      <x:c r="A15" s="6" t="str">
        <x:v>Blood</x:v>
      </x:c>
      <x:c r="B15" s="6" t="str">
        <x:v>Capacity versus Detonation</x:v>
      </x:c>
      <x:c r="C15" s="6" t="str">
        <x:v>Capacity increases the trigger threshold as well as stored bleed potential.</x:v>
      </x:c>
      <x:c r="D15" s="6" t="str">
        <x:v>Bloodletting fifth rank only adds a stack when cap exceeds five.</x:v>
      </x:c>
      <x:c r="E15" s="6" t="str">
        <x:v>Source/HeavensDivide/SamuraiBuildUpgrades.cpp:102</x:v>
      </x:c>
    </x:row>
    <x:row r="16" ht="38" customHeight="1">
      <x:c r="A16" s="6" t="str">
        <x:v>Iaijutsu</x:v>
      </x:c>
      <x:c r="B16" s="6" t="str">
        <x:v>Focused Malice versus Relentless Steps</x:v>
      </x:c>
      <x:c r="C16" s="6" t="str">
        <x:v>Mutually exclusive. Relentless removes mark damage and converts existing mark ranks to Iaijutsu Damage.</x:v>
      </x:c>
      <x:c r="D16" s="6" t="str">
        <x:v>Conversion preserves magnitude even if displayed damage rank reaches cap.</x:v>
      </x:c>
      <x:c r="E16" s="6" t="str">
        <x:v>Source/HeavensDivide/PlayerUpgradeRunState.cpp:131</x:v>
      </x:c>
    </x:row>
    <x:row r="17" ht="30" customHeight="1">
      <x:c r="A17" s="6" t="str">
        <x:v>Iaijutsu</x:v>
      </x:c>
      <x:c r="B17" s="6" t="str">
        <x:v>X slash, cascade and endpoint</x:v>
      </x:c>
      <x:c r="C17" s="6" t="str">
        <x:v>X lanes share one cascade budget; endpoint burst only on first lane.</x:v>
      </x:c>
      <x:c r="D17" s="6" t="str">
        <x:v>Follow-up cannot cascade again with the saved chain budget of one.</x:v>
      </x:c>
      <x:c r="E17" s="6" t="str">
        <x:v>Source/HeavensDivide/SamuraiAutoAttack.cpp:166</x:v>
      </x:c>
    </x:row>
    <x:row r="18" ht="38" customHeight="1">
      <x:c r="A18" s="6" t="str">
        <x:v>Crescent</x:v>
      </x:c>
      <x:c r="B18" s="6" t="str">
        <x:v>Eruption versus slow</x:v>
      </x:c>
      <x:c r="C18" s="6" t="str">
        <x:v>Eruption disables slow and converts owned slow strength/duration ranks into damage.</x:v>
      </x:c>
      <x:c r="D18" s="6" t="str">
        <x:v>New slow cards stop appearing. Existing investment survives the conversion.</x:v>
      </x:c>
      <x:c r="E18" s="6" t="str">
        <x:v>Source/HeavensDivide/PlayerUpgradeRunState.cpp:225</x:v>
      </x:c>
    </x:row>
    <x:row r="19" ht="38" customHeight="1">
      <x:c r="A19" s="6" t="str">
        <x:v>Crescent</x:v>
      </x:c>
      <x:c r="B19" s="6" t="str">
        <x:v>Wake damage isolation</x:v>
      </x:c>
      <x:c r="C19" s="6" t="str">
        <x:v>Field uses pre-pact wave damage snapshot; Scorched Wake doubles field DPS.</x:v>
      </x:c>
      <x:c r="D19" s="6" t="str">
        <x:v>Crushing Tide boosts direct hits only. Enduring Wake boosts duration/total, not DPS.</x:v>
      </x:c>
      <x:c r="E19" s="6" t="str">
        <x:v>Source/HeavensDivide/SamuraiAutoAttack.cpp:538</x:v>
      </x:c>
    </x:row>
    <x:row r="20" ht="38" customHeight="1">
      <x:c r="A20" s="6" t="str">
        <x:v>Returning Fang</x:v>
      </x:c>
      <x:c r="B20" s="6" t="str">
        <x:v>Count / speed conversion</x:v>
      </x:c>
      <x:c r="C20" s="6" t="str">
        <x:v>Extra projectiles add 25% Fang damage each. Attack interval improvements accelerate flight.</x:v>
      </x:c>
      <x:c r="D20" s="6" t="str">
        <x:v>Return trips shorten time between hits, bounded by two launches per second.</x:v>
      </x:c>
      <x:c r="E20" s="6" t="str">
        <x:v>Source/HeavensDivide/NinjaBuildProjectile.cpp:75</x:v>
      </x:c>
    </x:row>
    <x:row r="21" ht="38" customHeight="1">
      <x:c r="A21" s="6" t="str">
        <x:v>Returning Fang</x:v>
      </x:c>
      <x:c r="B21" s="6" t="str">
        <x:v>Non-recursive children</x:v>
      </x:c>
      <x:c r="C21" s="6" t="str">
        <x:v>Spectral Fangs do not produce more Fangs; return burst/fragments do not trigger Fang effects.</x:v>
      </x:c>
      <x:c r="D21" s="6" t="str">
        <x:v>Main successful return alone rolls the one-second-gated assist.</x:v>
      </x:c>
      <x:c r="E21" s="6" t="str">
        <x:v>Source/HeavensDivide/NinjaFangBuild.cpp:112</x:v>
      </x:c>
    </x:row>
    <x:row r="22" ht="38" customHeight="1">
      <x:c r="A22" s="6" t="str">
        <x:v>Barrage</x:v>
      </x:c>
      <x:c r="B22" s="6" t="str">
        <x:v>Procession versus split</x:v>
      </x:c>
      <x:c r="C22" s="6" t="str">
        <x:v>Forked Blades and Branching Blades become ricochet retention improvements.</x:v>
      </x:c>
      <x:c r="D22" s="6" t="str">
        <x:v>Base split unlock adds 3 points; each chance rank adds 2 points.</x:v>
      </x:c>
      <x:c r="E22" s="6" t="str">
        <x:v>Source/HeavensDivide/AttackProjectileBase.cpp:176</x:v>
      </x:c>
    </x:row>
    <x:row r="23" ht="38" customHeight="1">
      <x:c r="A23" s="6" t="str">
        <x:v>Barrage</x:v>
      </x:c>
      <x:c r="B23" s="6" t="str">
        <x:v>Bloom versus poison pools</x:v>
      </x:c>
      <x:c r="C23" s="6" t="str">
        <x:v>Bloom replaces stack application with repeated damage equal to a fraction of remaining poison.</x:v>
      </x:c>
      <x:c r="D23" s="6" t="str">
        <x:v>Poison is not consumed. Pool radius ranks still apply.</x:v>
      </x:c>
      <x:c r="E23" s="6" t="str">
        <x:v>Source/HeavensDivide/BarragePoisonPool.cpp:72</x:v>
      </x:c>
    </x:row>
    <x:row r="24" ht="30" customHeight="1">
      <x:c r="A24" s="6" t="str">
        <x:v>Giant Shuriken</x:v>
      </x:c>
      <x:c r="B24" s="6" t="str">
        <x:v>Hunger versus size</x:v>
      </x:c>
      <x:c r="C24" s="6" t="str">
        <x:v>Size-card magnitude boosts kill growth instead of initial radius.</x:v>
      </x:c>
      <x:c r="D24" s="6" t="str">
        <x:v>Permanent Shuriken size still multiplies initial radius separately.</x:v>
      </x:c>
      <x:c r="E24" s="6" t="str">
        <x:v>Source/HeavensDivide/NinjaBuildComponent.cpp:274</x:v>
      </x:c>
    </x:row>
    <x:row r="25" ht="38" customHeight="1">
      <x:c r="A25" s="6" t="str">
        <x:v>Giant Shuriken</x:v>
      </x:c>
      <x:c r="B25" s="6" t="str">
        <x:v>Burst and contact distinction</x:v>
      </x:c>
      <x:c r="C25" s="6" t="str">
        <x:v>Breaking Wheel and Pulsing Core share burst scaling and Serrated stacks.</x:v>
      </x:c>
      <x:c r="D25" s="6" t="str">
        <x:v>Orbit/Pulse penalties multiply contact only; kills cannot recursively burst.</x:v>
      </x:c>
      <x:c r="E25" s="6" t="str">
        <x:v>Source/HeavensDivide/NinjaShurikenBuild.cpp:45</x:v>
      </x:c>
    </x:row>
    <x:row r="26" ht="38" customHeight="1">
      <x:c r="A26" s="6" t="str">
        <x:v>All</x:v>
      </x:c>
      <x:c r="B26" s="6" t="str">
        <x:v>Permanent cadence</x:v>
      </x:c>
      <x:c r="C26" s="6" t="str">
        <x:v>Blood/Crescent/Barrage attack rate; Iaijutsu charge; Fang flight; Shuriken contact/pulse frequency.</x:v>
      </x:c>
      <x:c r="D26" s="6" t="str">
        <x:v>Applies to the owned hero stance even when that hero assists.</x:v>
      </x:c>
      <x:c r="E26" s="6" t="str">
        <x:v>Source/HeavensDivide/PlayerUpgradeStats.cpp:378</x:v>
      </x:c>
    </x:row>
    <x:row r="27" ht="38" customHeight="1">
      <x:c r="A27" s="6" t="str">
        <x:v>All</x:v>
      </x:c>
      <x:c r="B27" s="6" t="str">
        <x:v>Permanent coverage</x:v>
      </x:c>
      <x:c r="C27" s="6" t="str">
        <x:v>Samurai melee/lane/wave width; Fang range; Barrage projectile/pool size; Shuriken radius.</x:v>
      </x:c>
      <x:c r="D27" s="6" t="str">
        <x:v>Blood Transfer, Detonation, and Fang return burst keep their dedicated radius upgrades.</x:v>
      </x:c>
      <x:c r="E27" s="6" t="str">
        <x:v>Source/HeavensDivide/PlayerUpgradeStats.cpp:300</x:v>
      </x:c>
    </x:row>
    <x:row r="28" ht="30" customHeight="1">
      <x:c r="A28" s="6" t="str">
        <x:v>Shared</x:v>
      </x:c>
      <x:c r="B28" s="6" t="str">
        <x:v>Synergy equipment</x:v>
      </x:c>
      <x:c r="C28" s="6" t="str">
        <x:v>Five saved synergies, equipped at run start; not drafted during level-up.</x:v>
      </x:c>
      <x:c r="D28" s="6" t="str">
        <x:v>Maximum five selected, subject to permanent unlock ownership.</x:v>
      </x:c>
      <x:c r="E28" s="6" t="str">
        <x:v>Source/HeavensDivide/RunLoadoutSubsystem.cpp:158</x:v>
      </x:c>
    </x:row>
    <x:row r="29" ht="38" customHeight="1">
      <x:c r="A29" s="6" t="str">
        <x:v>Shared</x:v>
      </x:c>
      <x:c r="B29" s="6" t="str">
        <x:v>Joint combo recipes</x:v>
      </x:c>
      <x:c r="C29" s="6" t="str">
        <x:v>Crimson Tempest: Blood/Barrage; Eclipse Severance: Iaijutsu/Fang; Lunar Tempest: Crescent/Shuriken.</x:v>
      </x:c>
      <x:c r="D29" s="6" t="str">
        <x:v>Works in any stance; matching upgrades empower their corresponding half. Recipe unlocks included in Permanent Skills.</x:v>
      </x:c>
      <x:c r="E29" s="6" t="str">
        <x:v>Source/HeavensDivide/ComboAbilityDefinition.cpp:6</x:v>
      </x:c>
    </x:row>
    <x:row r="30" ht="38" customHeight="1">
      <x:c r="A30" s="6" t="str">
        <x:v>All</x:v>
      </x:c>
      <x:c r="B30" s="6" t="str">
        <x:v>Permanent prices</x:v>
      </x:c>
      <x:c r="C30" s="6" t="str">
        <x:v>Each purchased rank costs 3 x BaseCost x next rank.</x:v>
      </x:c>
      <x:c r="D30" s="6" t="str">
        <x:v>Total node cost at cap = 3 x BaseCost x N x (N+1)/2; parent requires one rank, not max rank.</x:v>
      </x:c>
      <x:c r="E30" s="6" t="str">
        <x:v>Source/HeavensDivide/MetaSkillTree.cpp:188</x:v>
      </x:c>
    </x:row>
  </x:sheetData>
  <x:mergeCells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136f15aa5abe495c"/>
  </x:tableParts>
</x:worksheet>
</file>

<file path=xl/worksheets/sheet8.xml><?xml version="1.0" encoding="utf-8"?>
<x:worksheet xmlns:x="http://schemas.openxmlformats.org/spreadsheetml/2006/main">
  <x:sheetPr>
    <x:tabColor rgb="FFB3853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130000114440918" hidden="0" customWidth="1"/>
    <x:col min="2" max="2" width="11.25" hidden="0" customWidth="1"/>
    <x:col min="3" max="3" width="21.8799991607666" hidden="0" customWidth="1"/>
    <x:col min="4" max="4" width="31.25" hidden="0" customWidth="1"/>
    <x:col min="5" max="5" width="60" hidden="0" customWidth="1"/>
    <x:col min="6" max="6" width="56.25" hidden="0" customWidth="1"/>
    <x:col min="7" max="7" width="57.5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</x:row>
    <x:row r="2" ht="29" customHeight="1">
      <x:c r="A2" s="3" t="str">
        <x:v>Audit findings and follow-up work</x:v>
      </x:c>
      <x:c r="B2" s="2"/>
      <x:c r="C2" s="2"/>
      <x:c r="D2" s="2"/>
      <x:c r="E2" s="2"/>
      <x:c r="F2" s="2"/>
      <x:c r="G2" s="2"/>
    </x:row>
    <x:row r="3" ht="34" customHeight="1">
      <x:c r="A3" s="5" t="str">
        <x:v>Nine findings, separated by confirmed mismatches, conditional upgrade value, maintenance, and a visual test that needs rendered verification. No gameplay changes were made for this audit.</x:v>
      </x:c>
      <x:c r="B3" s="6"/>
      <x:c r="C3" s="6"/>
      <x:c r="D3" s="6"/>
      <x:c r="E3" s="6"/>
      <x:c r="F3" s="2"/>
      <x:c r="G3" s="2"/>
    </x:row>
    <x:row r="4" ht="8" customHeight="1">
      <x:c r="A4" s="7"/>
      <x:c r="B4" s="7"/>
      <x:c r="C4" s="7"/>
      <x:c r="D4" s="7"/>
      <x:c r="E4" s="7"/>
      <x:c r="F4" s="7"/>
      <x:c r="G4" s="7"/>
    </x:row>
    <x:row r="5" ht="34" customHeight="1">
      <x:c r="A5" s="12" t="str">
        <x:v>ID</x:v>
      </x:c>
      <x:c r="B5" s="12" t="str">
        <x:v>Priority</x:v>
      </x:c>
      <x:c r="C5" s="12" t="str">
        <x:v>Finding type</x:v>
      </x:c>
      <x:c r="D5" s="12" t="str">
        <x:v>Finding</x:v>
      </x:c>
      <x:c r="E5" s="12" t="str">
        <x:v>Evidence / current behavior</x:v>
      </x:c>
      <x:c r="F5" s="12" t="str">
        <x:v>Suggested follow-up</x:v>
      </x:c>
      <x:c r="G5" s="12" t="str">
        <x:v>Source</x:v>
      </x:c>
    </x:row>
    <x:row r="6" ht="38" customHeight="1">
      <x:c r="A6" s="6" t="str">
        <x:v>F01</x:v>
      </x:c>
      <x:c r="B6" s="6" t="str">
        <x:v>Medium</x:v>
      </x:c>
      <x:c r="C6" s="6" t="str">
        <x:v>Conditional value</x:v>
      </x:c>
      <x:c r="D6" s="6" t="str">
        <x:v>Bloodletting rank 5 can add zero stacks</x:v>
      </x:c>
      <x:c r="E6" s="6" t="str">
        <x:v>Base cap 5; ranks 4 and 5 apply min(5, 1+rank) = 5 without Deep Reserves. Acquisition only requires Blood.</x:v>
      </x:c>
      <x:c r="F6" s="6" t="str">
        <x:v>Gate the last rank on capacity, or show the current capped stack gain on the offer.</x:v>
      </x:c>
      <x:c r="G6" s="6" t="str">
        <x:v>Source/HeavensDivide/EnemyStatusEffectComponent.cpp:42
/Game/HeavensDivide/Upgrades/Samurai/DA_Upgrade_SamuraiBloodletting</x:v>
      </x:c>
    </x:row>
    <x:row r="7" ht="38" customHeight="1">
      <x:c r="A7" s="6" t="str">
        <x:v>F02</x:v>
      </x:c>
      <x:c r="B7" s="6" t="str">
        <x:v>Medium</x:v>
      </x:c>
      <x:c r="C7" s="6" t="str">
        <x:v>Confirmed text mismatch</x:v>
      </x:c>
      <x:c r="D7" s="6" t="str">
        <x:v>Sweeping Steel still promises blood-burst radius</x:v>
      </x:c>
      <x:c r="E7" s="6" t="str">
        <x:v>Blood.Reach says melee and blood-burst radius. Transfer/Detonation now read only their radius and BloodTransferArea.</x:v>
      </x:c>
      <x:c r="F7" s="6" t="str">
        <x:v>Change permanent skill copy to melee radius. Preserve dedicated burst scaling.</x:v>
      </x:c>
      <x:c r="G7" s="6" t="str">
        <x:v>Source/HeavensDivide/MetaSkillTree.cpp:51
Source/HeavensDivide/SamuraiBuildUpgrades.cpp:102</x:v>
      </x:c>
    </x:row>
    <x:row r="8" ht="51" customHeight="1">
      <x:c r="A8" s="6" t="str">
        <x:v>F03</x:v>
      </x:c>
      <x:c r="B8" s="6" t="str">
        <x:v>Medium</x:v>
      </x:c>
      <x:c r="C8" s="6" t="str">
        <x:v>Confirmed unused tuning</x:v>
      </x:c>
      <x:c r="D8" s="6" t="str">
        <x:v>Blood Transfer exposes two ineffective settings</x:v>
      </x:c>
      <x:c r="E8" s="6" t="str">
        <x:v>Saved TransferFraction=0.5 and Targets=5 are never consumed. Current code transfers full accepted stacks to every valid nearby enemy, query limited to 128.</x:v>
      </x:c>
      <x:c r="F8" s="6" t="str">
        <x:v>Remove or explicitly label the obsolete fields, or implement them only if that balance change is intended.</x:v>
      </x:c>
      <x:c r="G8" s="6" t="str">
        <x:v>/Game/HeavensDivide/Upgrades/Samurai/DA_Upgrade_SamuraiBloodTransfer
Source/HeavensDivide/SamuraiBuildUpgrades.cpp:158</x:v>
      </x:c>
    </x:row>
    <x:row r="9" ht="51" customHeight="1">
      <x:c r="A9" s="6" t="str">
        <x:v>F04</x:v>
      </x:c>
      <x:c r="B9" s="6" t="str">
        <x:v>Low</x:v>
      </x:c>
      <x:c r="C9" s="6" t="str">
        <x:v>Confirmed unused tuning</x:v>
      </x:c>
      <x:c r="D9" s="6" t="str">
        <x:v>Growing Shuriken uses time, not GrowthDistance</x:v>
      </x:c>
      <x:c r="E9" s="6" t="str">
        <x:v>Saved GrowthDistance=1000 is not read. Growth is based on age / lifetime. ShurikenSpeed also has PerRank=0.15, bypassed by its rolled 0.10/0.15/0.20 magnitudes.</x:v>
      </x:c>
      <x:c r="F9" s="6" t="str">
        <x:v>Remove or label inactive knobs so balance edits do not silently do nothing.</x:v>
      </x:c>
      <x:c r="G9" s="6" t="str">
        <x:v>Source/HeavensDivide/NinjaShurikenBuild.cpp:25
Source/HeavensDivide/FangBuild.cpp:18</x:v>
      </x:c>
    </x:row>
    <x:row r="10" ht="38" customHeight="1">
      <x:c r="A10" s="6" t="str">
        <x:v>F05</x:v>
      </x:c>
      <x:c r="B10" s="6" t="str">
        <x:v>Medium</x:v>
      </x:c>
      <x:c r="C10" s="6" t="str">
        <x:v>Needs rendered verification</x:v>
      </x:c>
      <x:c r="D10" s="6" t="str">
        <x:v>Barrage effect fade test failed under NullRHI</x:v>
      </x:c>
      <x:c r="E10" s="6" t="str">
        <x:v>The projectile stopped collision/movement and opacity checks passed, but its controlled Niagara trail was not active at the fade assertion.</x:v>
      </x:c>
      <x:c r="F10" s="6" t="str">
        <x:v>Re-run this visual assertion with rendering enabled, then inspect the authored trail lifecycle before classifying a visual regression.</x:v>
      </x:c>
      <x:c r="G10" s="6" t="str">
        <x:v>Source/HeavensDivide/BarrageBuildTests.cpp:145</x:v>
      </x:c>
    </x:row>
    <x:row r="11" ht="38" customHeight="1">
      <x:c r="A11" s="6" t="str">
        <x:v>F06</x:v>
      </x:c>
      <x:c r="B11" s="6" t="str">
        <x:v>Low</x:v>
      </x:c>
      <x:c r="C11" s="6" t="str">
        <x:v>Confirmed stale test</x:v>
      </x:c>
      <x:c r="D11" s="6" t="str">
        <x:v>UnlockShop test expects save version 6</x:v>
      </x:c>
      <x:c r="E11" s="6" t="str">
        <x:v>Test expected 6 after migration; runtime CurrentSaveVersion is 7. This was the only UnlockShop assertion failure.</x:v>
      </x:c>
      <x:c r="F11" s="6" t="str">
        <x:v>Update the expected migration version and retain the investment/unlock checks.</x:v>
      </x:c>
      <x:c r="G11" s="6" t="str">
        <x:v>Source/HeavensDivide/UpgradeAvailabilityTests.cpp:92
Source/HeavensDivide/SynergyMetaProgressionSubsystem.cpp:23</x:v>
      </x:c>
    </x:row>
    <x:row r="12" ht="51" customHeight="1">
      <x:c r="A12" s="6" t="str">
        <x:v>F07</x:v>
      </x:c>
      <x:c r="B12" s="6" t="str">
        <x:v>Medium</x:v>
      </x:c>
      <x:c r="C12" s="6" t="str">
        <x:v>Documentation drift</x:v>
      </x:c>
      <x:c r="D12" s="6" t="str">
        <x:v>Older stance docs no longer describe current tuning</x:v>
      </x:c>
      <x:c r="E12" s="6" t="str">
        <x:v>BuildFamilies lists 156 cards and trial-selected stances. Current saved pool has 150; roots come from loadout. Older notes also differ on Echo, Iaijutsu, Crescent and Fang values.</x:v>
      </x:c>
      <x:c r="F12" s="6" t="str">
        <x:v>Regenerate the numeric reference from saved definitions and update the acquisition overview. Treat this workbook as a dated snapshot.</x:v>
      </x:c>
      <x:c r="G12" s="6" t="str">
        <x:v>Docs/BuildFamilies.md:9
Docs/SamuraiStanceAudit.md
Source/HeavensDivide/RunLoadoutSubsystem.cpp:158</x:v>
      </x:c>
    </x:row>
    <x:row r="13" ht="51" customHeight="1">
      <x:c r="A13" s="6" t="str">
        <x:v>F08</x:v>
      </x:c>
      <x:c r="B13" s="6" t="str">
        <x:v>Low</x:v>
      </x:c>
      <x:c r="C13" s="6" t="str">
        <x:v>Conditional value</x:v>
      </x:c>
      <x:c r="D13" s="6" t="str">
        <x:v>Persistent Grind can exceed blade lifetime</x:v>
      </x:c>
      <x:c r="E13" s="6" t="str">
        <x:v>Grind duration = 1 + 0.2 x rank, up to 2 s. Unupgraded blade lifetime is only 1.5 s and keeps counting while grinding. Late-hit value is smaller still.</x:v>
      </x:c>
      <x:c r="F13" s="6" t="str">
        <x:v>Explain remaining-lifetime dependence or consider tying later ranks to Lingering Shuriken ownership.</x:v>
      </x:c>
      <x:c r="G13" s="6" t="str">
        <x:v>Source/HeavensDivide/NinjaShurikenBuild.cpp:65
Source/HeavensDivide/NinjaBuildComponent.cpp:247</x:v>
      </x:c>
    </x:row>
    <x:row r="14" ht="51" customHeight="1">
      <x:c r="A14" s="6" t="str">
        <x:v>F09</x:v>
      </x:c>
      <x:c r="B14" s="6" t="str">
        <x:v>Low</x:v>
      </x:c>
      <x:c r="C14" s="6" t="str">
        <x:v>Catalog maintenance</x:v>
      </x:c>
      <x:c r="D14" s="6" t="str">
        <x:v>Eleven retained Ninja assets cannot appear in normal runs</x:v>
      </x:c>
      <x:c r="E14" s="6" t="str">
        <x:v>Every normal run selects one Ninja stance. Eight legacy mechanics/supports are suppressed; NinjaDamage/Speed/Coverage are replaced by selected-stance cards.</x:v>
      </x:c>
      <x:c r="F14" s="6" t="str">
        <x:v>Keep compatibility IDs, but label these assets as legacy in editor-facing catalogs to avoid balancing inactive content.</x:v>
      </x:c>
      <x:c r="G14" s="6" t="str">
        <x:v>Source/HeavensDivide/PlayerUpgradeComponent.cpp:38
Source/HeavensDivide/FangBuild.cpp:12</x:v>
      </x:c>
    </x:row>
  </x:sheetData>
  <x:mergeCells>
    <x:mergeCell ref="A2:E2"/>
    <x:mergeCell ref="A3:E3"/>
  </x:mergeCells>
  <x:conditionalFormatting sqref="B6:B14">
    <x:cfRule type="containsText" dxfId="4" priority="1" operator="containsText" text="Medium"/>
  </x:conditionalFormatting>
  <x:pageMargins left="0.7" right="0.7" top="0.75" bottom="0.75" header="0.3" footer="0.3"/>
  <x:tableParts count="1">
    <x:tablePart xmlns:r="http://schemas.openxmlformats.org/officeDocument/2006/relationships" r:id="Rcfb65227027b4967"/>
  </x:tableParts>
</x:worksheet>
</file>